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viannguyen/Desktop/Excel Learning /Financial Modeling in Excel_datacamp/"/>
    </mc:Choice>
  </mc:AlternateContent>
  <xr:revisionPtr revIDLastSave="0" documentId="8_{0E663898-B7F9-D742-913A-6AFBDC770158}" xr6:coauthVersionLast="47" xr6:coauthVersionMax="47" xr10:uidLastSave="{00000000-0000-0000-0000-000000000000}"/>
  <bookViews>
    <workbookView xWindow="0" yWindow="740" windowWidth="30240" windowHeight="18900" activeTab="1" xr2:uid="{63597142-CCE2-524F-A82B-B41596DAB9BA}"/>
  </bookViews>
  <sheets>
    <sheet name="Income Statement" sheetId="1" r:id="rId1"/>
    <sheet name="Financial Model" sheetId="2" r:id="rId2"/>
  </sheets>
  <definedNames>
    <definedName name="Cost_Growth__Annually">'Financial Model'!$B$2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C19" i="2"/>
  <c r="D19" i="2"/>
  <c r="E19" i="2"/>
  <c r="F19" i="2"/>
  <c r="C20" i="2"/>
  <c r="D20" i="2"/>
  <c r="E20" i="2"/>
  <c r="F20" i="2"/>
  <c r="B19" i="2"/>
  <c r="B20" i="2" s="1"/>
  <c r="C10" i="2"/>
  <c r="D10" i="2"/>
  <c r="E10" i="2"/>
  <c r="F10" i="2"/>
  <c r="E16" i="2"/>
  <c r="F16" i="2"/>
  <c r="D16" i="2"/>
  <c r="C16" i="2"/>
  <c r="E17" i="2"/>
  <c r="F17" i="2" s="1"/>
  <c r="D17" i="2"/>
  <c r="C17" i="2"/>
  <c r="C15" i="2"/>
  <c r="C14" i="2" s="1"/>
  <c r="C13" i="2"/>
  <c r="D13" i="2" s="1"/>
  <c r="D7" i="2"/>
  <c r="E7" i="2"/>
  <c r="F7" i="2"/>
  <c r="C7" i="2"/>
  <c r="D8" i="2"/>
  <c r="E8" i="2" s="1"/>
  <c r="F8" i="2" s="1"/>
  <c r="C8" i="2"/>
  <c r="B17" i="2"/>
  <c r="B15" i="2"/>
  <c r="B13" i="2"/>
  <c r="B10" i="2"/>
  <c r="B9" i="2" s="1"/>
  <c r="D9" i="2" s="1"/>
  <c r="C8" i="1"/>
  <c r="E13" i="2" l="1"/>
  <c r="D12" i="2"/>
  <c r="D15" i="2"/>
  <c r="C12" i="2"/>
  <c r="C9" i="2"/>
  <c r="F9" i="2"/>
  <c r="E9" i="2"/>
  <c r="D14" i="2" l="1"/>
  <c r="E15" i="2"/>
  <c r="F13" i="2"/>
  <c r="F12" i="2" s="1"/>
  <c r="E12" i="2"/>
  <c r="F15" i="2" l="1"/>
  <c r="F14" i="2" s="1"/>
  <c r="E14" i="2"/>
</calcChain>
</file>

<file path=xl/sharedStrings.xml><?xml version="1.0" encoding="utf-8"?>
<sst xmlns="http://schemas.openxmlformats.org/spreadsheetml/2006/main" count="29" uniqueCount="24">
  <si>
    <t xml:space="preserve">Assumptions </t>
  </si>
  <si>
    <t>Net Income Lookup</t>
  </si>
  <si>
    <t>Cost Growth (Annually)</t>
  </si>
  <si>
    <t xml:space="preserve">Year </t>
  </si>
  <si>
    <t>$</t>
  </si>
  <si>
    <t xml:space="preserve">Cash flow model </t>
  </si>
  <si>
    <t>Sales &amp; Delivery Fees</t>
  </si>
  <si>
    <t xml:space="preserve">Units Sold </t>
  </si>
  <si>
    <t xml:space="preserve">Unit Price </t>
  </si>
  <si>
    <t xml:space="preserve">Elephants </t>
  </si>
  <si>
    <t xml:space="preserve">Avg.Cost </t>
  </si>
  <si>
    <t xml:space="preserve">Paint </t>
  </si>
  <si>
    <t xml:space="preserve">Delivery expenses </t>
  </si>
  <si>
    <t xml:space="preserve">Total Expenses </t>
  </si>
  <si>
    <t xml:space="preserve">Net Income </t>
  </si>
  <si>
    <t xml:space="preserve">Profit &amp; Loss for Pink Elephants, Inc. </t>
  </si>
  <si>
    <t xml:space="preserve">Income </t>
  </si>
  <si>
    <t xml:space="preserve">Sales &amp; Delivery Fees </t>
  </si>
  <si>
    <t xml:space="preserve">Total Income </t>
  </si>
  <si>
    <t>Costs of goods sold</t>
  </si>
  <si>
    <t>Elephants</t>
  </si>
  <si>
    <t>Delivery expenses</t>
  </si>
  <si>
    <t>2 elephants were sold during this period.</t>
  </si>
  <si>
    <t xml:space="preserve">Total Sales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</si>
</sst>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70C0"/>
      <name val="Aptos Narrow"/>
      <family val="2"/>
      <scheme val="minor"/>
    </font>
    <font>
      <sz val="12"/>
      <color rgb="FFC00000"/>
      <name val="Aptos Narrow"/>
      <family val="2"/>
      <scheme val="minor"/>
    </font>
    <font>
      <sz val="12"/>
      <color rgb="FF00B050"/>
      <name val="Aptos Narrow"/>
      <family val="2"/>
      <scheme val="minor"/>
    </font>
    <font>
      <i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44CD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1" tint="0.499984740745262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1" fillId="2" borderId="0" xfId="0" applyFont="1" applyFill="1" applyBorder="1" applyAlignment="1">
      <alignment horizontal="left" vertical="center"/>
    </xf>
    <xf numFmtId="0" fontId="0" fillId="2" borderId="0" xfId="0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3" fontId="4" fillId="0" borderId="0" xfId="0" applyNumberFormat="1" applyFont="1" applyBorder="1" applyAlignment="1">
      <alignment horizontal="center" vertical="center"/>
    </xf>
    <xf numFmtId="9" fontId="2" fillId="0" borderId="0" xfId="0" applyNumberFormat="1" applyFont="1" applyBorder="1" applyAlignment="1">
      <alignment horizontal="center" vertical="center"/>
    </xf>
    <xf numFmtId="38" fontId="4" fillId="0" borderId="0" xfId="0" applyNumberFormat="1" applyFont="1" applyAlignment="1">
      <alignment horizontal="center" vertical="center"/>
    </xf>
    <xf numFmtId="38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3" fontId="0" fillId="0" borderId="0" xfId="0" applyNumberFormat="1"/>
    <xf numFmtId="3" fontId="1" fillId="0" borderId="0" xfId="0" applyNumberFormat="1" applyFont="1"/>
    <xf numFmtId="38" fontId="0" fillId="0" borderId="0" xfId="0" applyNumberFormat="1"/>
    <xf numFmtId="0" fontId="1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5" fillId="0" borderId="0" xfId="0" applyFont="1"/>
    <xf numFmtId="3" fontId="1" fillId="0" borderId="1" xfId="0" applyNumberFormat="1" applyFont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37" fontId="0" fillId="0" borderId="0" xfId="0" applyNumberFormat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rgb="FFF44CDC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rgb="FFF44CDC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rgb="FFF44CDC"/>
        </patternFill>
      </fill>
      <alignment horizontal="left" vertical="center" textRotation="0" wrapText="0" indent="0" justifyLastLine="0" shrinkToFit="0" readingOrder="0"/>
    </dxf>
    <dxf>
      <numFmt numFmtId="6" formatCode="#,##0_);[Red]\(#,##0\)"/>
    </dxf>
  </dxfs>
  <tableStyles count="0" defaultTableStyle="TableStyleMedium2" defaultPivotStyle="PivotStyleLight16"/>
  <colors>
    <mruColors>
      <color rgb="FFF44CDC"/>
      <color rgb="FFFF52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91B7E9E-37D3-3644-B9BB-7BA6D4AB6828}" name="Table5" displayName="Table5" ref="A1:C12" headerRowCount="0" totalsRowShown="0">
  <tableColumns count="3">
    <tableColumn id="1" xr3:uid="{6D657B11-21DE-D246-BAA5-C55565AB8280}" name="Column1" headerRowDxfId="0"/>
    <tableColumn id="2" xr3:uid="{BE6F743B-1FB6-144F-844E-8B9200BD1C33}" name="Column2" headerRowDxfId="1"/>
    <tableColumn id="3" xr3:uid="{1B652D28-41F1-1541-97A5-99ED86C7E460}" name="Column3" headerRowDxfId="2" dataDxfId="3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59C08-7C55-294D-B428-AE272F0C49D1}">
  <dimension ref="A1:C12"/>
  <sheetViews>
    <sheetView workbookViewId="0">
      <selection activeCell="B18" sqref="B18"/>
    </sheetView>
  </sheetViews>
  <sheetFormatPr baseColWidth="10" defaultRowHeight="16" x14ac:dyDescent="0.2"/>
  <cols>
    <col min="1" max="1" width="19.83203125" customWidth="1"/>
    <col min="2" max="2" width="27.1640625" customWidth="1"/>
    <col min="3" max="3" width="11" customWidth="1"/>
    <col min="6" max="6" width="11" customWidth="1"/>
  </cols>
  <sheetData>
    <row r="1" spans="1:3" x14ac:dyDescent="0.2">
      <c r="A1" s="20" t="s">
        <v>15</v>
      </c>
      <c r="B1" s="21"/>
      <c r="C1" s="21"/>
    </row>
    <row r="2" spans="1:3" x14ac:dyDescent="0.2">
      <c r="A2" t="s">
        <v>16</v>
      </c>
    </row>
    <row r="3" spans="1:3" x14ac:dyDescent="0.2">
      <c r="B3" t="s">
        <v>17</v>
      </c>
      <c r="C3" s="17">
        <v>225000</v>
      </c>
    </row>
    <row r="4" spans="1:3" x14ac:dyDescent="0.2">
      <c r="A4" s="1" t="s">
        <v>18</v>
      </c>
      <c r="C4" s="18">
        <v>225000</v>
      </c>
    </row>
    <row r="6" spans="1:3" x14ac:dyDescent="0.2">
      <c r="A6" t="s">
        <v>19</v>
      </c>
    </row>
    <row r="7" spans="1:3" x14ac:dyDescent="0.2">
      <c r="B7" t="s">
        <v>20</v>
      </c>
      <c r="C7" s="19">
        <v>-100000</v>
      </c>
    </row>
    <row r="8" spans="1:3" x14ac:dyDescent="0.2">
      <c r="B8" t="s">
        <v>11</v>
      </c>
      <c r="C8" s="19">
        <f>-10000</f>
        <v>-10000</v>
      </c>
    </row>
    <row r="9" spans="1:3" x14ac:dyDescent="0.2">
      <c r="B9" t="s">
        <v>21</v>
      </c>
      <c r="C9" s="19">
        <v>-15000</v>
      </c>
    </row>
    <row r="10" spans="1:3" x14ac:dyDescent="0.2">
      <c r="A10" s="1" t="s">
        <v>13</v>
      </c>
      <c r="C10" s="19">
        <v>-125000</v>
      </c>
    </row>
    <row r="11" spans="1:3" x14ac:dyDescent="0.2">
      <c r="A11" s="1" t="s">
        <v>14</v>
      </c>
      <c r="C11" s="19">
        <v>100000</v>
      </c>
    </row>
    <row r="12" spans="1:3" x14ac:dyDescent="0.2">
      <c r="A12" s="22" t="s">
        <v>22</v>
      </c>
      <c r="B12" s="22"/>
      <c r="C12" s="19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457D6-2F86-E143-A0D8-480F3ABBC203}">
  <dimension ref="A1:F20"/>
  <sheetViews>
    <sheetView tabSelected="1" topLeftCell="A4" workbookViewId="0">
      <selection activeCell="J11" sqref="J11"/>
    </sheetView>
  </sheetViews>
  <sheetFormatPr baseColWidth="10" defaultColWidth="27" defaultRowHeight="36" customHeight="1" x14ac:dyDescent="0.2"/>
  <cols>
    <col min="1" max="16384" width="27" style="2"/>
  </cols>
  <sheetData>
    <row r="1" spans="1:6" ht="36" customHeight="1" x14ac:dyDescent="0.2">
      <c r="A1" s="4" t="s">
        <v>0</v>
      </c>
      <c r="B1" s="5"/>
      <c r="C1" s="6"/>
      <c r="D1" s="4" t="s">
        <v>1</v>
      </c>
      <c r="E1" s="6"/>
      <c r="F1" s="6"/>
    </row>
    <row r="2" spans="1:6" ht="36" customHeight="1" x14ac:dyDescent="0.2">
      <c r="A2" s="6" t="s">
        <v>2</v>
      </c>
      <c r="B2" s="12">
        <v>0.1</v>
      </c>
      <c r="C2" s="6"/>
      <c r="D2" s="7" t="s">
        <v>3</v>
      </c>
      <c r="E2" s="8">
        <v>4</v>
      </c>
      <c r="F2" s="6"/>
    </row>
    <row r="3" spans="1:6" ht="36" customHeight="1" x14ac:dyDescent="0.2">
      <c r="A3" s="6"/>
      <c r="B3" s="6"/>
      <c r="C3" s="6"/>
      <c r="D3" s="7" t="s">
        <v>4</v>
      </c>
      <c r="E3" s="10">
        <f>HLOOKUP(E2,B6:F20,15,TRUE)</f>
        <v>671799.99999999907</v>
      </c>
      <c r="F3" s="6"/>
    </row>
    <row r="4" spans="1:6" ht="36" customHeight="1" x14ac:dyDescent="0.2">
      <c r="A4" s="6"/>
      <c r="B4" s="6"/>
      <c r="C4" s="6"/>
      <c r="D4" s="6"/>
      <c r="E4" s="6"/>
      <c r="F4" s="6"/>
    </row>
    <row r="5" spans="1:6" ht="36" customHeight="1" x14ac:dyDescent="0.2">
      <c r="A5" s="4" t="s">
        <v>5</v>
      </c>
      <c r="B5" s="5"/>
      <c r="C5" s="5"/>
      <c r="D5" s="5"/>
      <c r="E5" s="5"/>
      <c r="F5" s="5"/>
    </row>
    <row r="6" spans="1:6" ht="36" customHeight="1" x14ac:dyDescent="0.2">
      <c r="A6" s="6"/>
      <c r="B6" s="9">
        <v>0</v>
      </c>
      <c r="C6" s="9">
        <v>1</v>
      </c>
      <c r="D6" s="9">
        <v>2</v>
      </c>
      <c r="E6" s="9">
        <v>3</v>
      </c>
      <c r="F6" s="9">
        <v>4</v>
      </c>
    </row>
    <row r="7" spans="1:6" ht="36" customHeight="1" x14ac:dyDescent="0.2">
      <c r="A7" s="6" t="s">
        <v>6</v>
      </c>
      <c r="B7" s="11">
        <v>225000</v>
      </c>
      <c r="C7" s="10">
        <f>C9*C8</f>
        <v>450000</v>
      </c>
      <c r="D7" s="10">
        <f t="shared" ref="D7:F7" si="0">D9*D8</f>
        <v>900000</v>
      </c>
      <c r="E7" s="10">
        <f t="shared" si="0"/>
        <v>1800000</v>
      </c>
      <c r="F7" s="10">
        <f t="shared" si="0"/>
        <v>3600000</v>
      </c>
    </row>
    <row r="8" spans="1:6" ht="36" customHeight="1" x14ac:dyDescent="0.2">
      <c r="A8" s="7" t="s">
        <v>7</v>
      </c>
      <c r="B8" s="26">
        <v>2</v>
      </c>
      <c r="C8" s="26">
        <f>B8*2</f>
        <v>4</v>
      </c>
      <c r="D8" s="26">
        <f t="shared" ref="D8:F8" si="1">C8*2</f>
        <v>8</v>
      </c>
      <c r="E8" s="26">
        <f t="shared" si="1"/>
        <v>16</v>
      </c>
      <c r="F8" s="26">
        <f t="shared" si="1"/>
        <v>32</v>
      </c>
    </row>
    <row r="9" spans="1:6" ht="36" customHeight="1" x14ac:dyDescent="0.2">
      <c r="A9" s="7" t="s">
        <v>8</v>
      </c>
      <c r="B9" s="10">
        <f>B10/B8</f>
        <v>112500</v>
      </c>
      <c r="C9" s="10">
        <f>$B$9</f>
        <v>112500</v>
      </c>
      <c r="D9" s="10">
        <f t="shared" ref="D9:F9" si="2">$B$9</f>
        <v>112500</v>
      </c>
      <c r="E9" s="10">
        <f t="shared" si="2"/>
        <v>112500</v>
      </c>
      <c r="F9" s="10">
        <f t="shared" si="2"/>
        <v>112500</v>
      </c>
    </row>
    <row r="10" spans="1:6" ht="36" customHeight="1" thickBot="1" x14ac:dyDescent="0.25">
      <c r="A10" s="15" t="s">
        <v>23</v>
      </c>
      <c r="B10" s="23">
        <f>B7</f>
        <v>225000</v>
      </c>
      <c r="C10" s="23">
        <f t="shared" ref="C10:F10" si="3">C7</f>
        <v>450000</v>
      </c>
      <c r="D10" s="23">
        <f t="shared" si="3"/>
        <v>900000</v>
      </c>
      <c r="E10" s="23">
        <f t="shared" si="3"/>
        <v>1800000</v>
      </c>
      <c r="F10" s="23">
        <f t="shared" si="3"/>
        <v>3600000</v>
      </c>
    </row>
    <row r="12" spans="1:6" ht="36" customHeight="1" x14ac:dyDescent="0.2">
      <c r="A12" s="2" t="s">
        <v>9</v>
      </c>
      <c r="B12" s="13">
        <v>-100000</v>
      </c>
      <c r="C12" s="14">
        <f>C13*C8</f>
        <v>-220000.00000000003</v>
      </c>
      <c r="D12" s="14">
        <f>D13*D8</f>
        <v>-484000.00000000012</v>
      </c>
      <c r="E12" s="14">
        <f>E13*E8</f>
        <v>-1064800.0000000002</v>
      </c>
      <c r="F12" s="14">
        <f>F13*F8</f>
        <v>-2342560.0000000009</v>
      </c>
    </row>
    <row r="13" spans="1:6" ht="36" customHeight="1" x14ac:dyDescent="0.2">
      <c r="A13" s="3" t="s">
        <v>10</v>
      </c>
      <c r="B13" s="27">
        <f>B12/B8</f>
        <v>-50000</v>
      </c>
      <c r="C13" s="27">
        <f>B13*(1+Cost_Growth__Annually)</f>
        <v>-55000.000000000007</v>
      </c>
      <c r="D13" s="27">
        <f>C13*(1+Cost_Growth__Annually)</f>
        <v>-60500.000000000015</v>
      </c>
      <c r="E13" s="27">
        <f>D13*(1+Cost_Growth__Annually)</f>
        <v>-66550.000000000015</v>
      </c>
      <c r="F13" s="27">
        <f>E13*(1+Cost_Growth__Annually)</f>
        <v>-73205.000000000029</v>
      </c>
    </row>
    <row r="14" spans="1:6" ht="36" customHeight="1" x14ac:dyDescent="0.2">
      <c r="A14" s="2" t="s">
        <v>11</v>
      </c>
      <c r="B14" s="14">
        <v>-10000</v>
      </c>
      <c r="C14" s="14">
        <f>C15*C8</f>
        <v>-22000</v>
      </c>
      <c r="D14" s="14">
        <f>D15*D8</f>
        <v>-48400.000000000007</v>
      </c>
      <c r="E14" s="14">
        <f>E15*E8</f>
        <v>-106480.00000000003</v>
      </c>
      <c r="F14" s="14">
        <f>F15*F8</f>
        <v>-234256.00000000009</v>
      </c>
    </row>
    <row r="15" spans="1:6" ht="36" customHeight="1" x14ac:dyDescent="0.2">
      <c r="A15" s="3" t="s">
        <v>10</v>
      </c>
      <c r="B15" s="27">
        <f>B14/B8</f>
        <v>-5000</v>
      </c>
      <c r="C15" s="27">
        <f>B15*(1+Cost_Growth__Annually)</f>
        <v>-5500</v>
      </c>
      <c r="D15" s="27">
        <f>C15*(1+Cost_Growth__Annually)</f>
        <v>-6050.0000000000009</v>
      </c>
      <c r="E15" s="27">
        <f>D15*(1+Cost_Growth__Annually)</f>
        <v>-6655.0000000000018</v>
      </c>
      <c r="F15" s="27">
        <f>E15*(1+Cost_Growth__Annually)</f>
        <v>-7320.5000000000027</v>
      </c>
    </row>
    <row r="16" spans="1:6" ht="36" customHeight="1" x14ac:dyDescent="0.2">
      <c r="A16" s="2" t="s">
        <v>12</v>
      </c>
      <c r="B16" s="14">
        <v>-15000</v>
      </c>
      <c r="C16" s="14">
        <f>C17*C8</f>
        <v>-33000</v>
      </c>
      <c r="D16" s="14">
        <f>D17*D8</f>
        <v>-72600</v>
      </c>
      <c r="E16" s="14">
        <f>E17*E8</f>
        <v>-159720</v>
      </c>
      <c r="F16" s="14">
        <f>F17*F8</f>
        <v>-351384</v>
      </c>
    </row>
    <row r="17" spans="1:6" ht="36" customHeight="1" x14ac:dyDescent="0.2">
      <c r="A17" s="3" t="s">
        <v>10</v>
      </c>
      <c r="B17" s="27">
        <f>B16/B8</f>
        <v>-7500</v>
      </c>
      <c r="C17" s="27">
        <f>B17*(1+Cost_Growth__Annually)</f>
        <v>-8250</v>
      </c>
      <c r="D17" s="27">
        <f>C17*(1+Cost_Growth__Annually)</f>
        <v>-9075</v>
      </c>
      <c r="E17" s="27">
        <f>D17*(1+Cost_Growth__Annually)</f>
        <v>-9982.5</v>
      </c>
      <c r="F17" s="27">
        <f>E17*(1+Cost_Growth__Annually)</f>
        <v>-10980.75</v>
      </c>
    </row>
    <row r="19" spans="1:6" ht="36" customHeight="1" thickBot="1" x14ac:dyDescent="0.25">
      <c r="A19" s="15" t="s">
        <v>13</v>
      </c>
      <c r="B19" s="25">
        <f>SUM(B16,B14,B12)</f>
        <v>-125000</v>
      </c>
      <c r="C19" s="25">
        <f t="shared" ref="C19:F19" si="4">SUM(C16,C14,C12)</f>
        <v>-275000</v>
      </c>
      <c r="D19" s="25">
        <f t="shared" si="4"/>
        <v>-605000.00000000012</v>
      </c>
      <c r="E19" s="25">
        <f t="shared" si="4"/>
        <v>-1331000.0000000002</v>
      </c>
      <c r="F19" s="25">
        <f t="shared" si="4"/>
        <v>-2928200.0000000009</v>
      </c>
    </row>
    <row r="20" spans="1:6" ht="36" customHeight="1" thickBot="1" x14ac:dyDescent="0.25">
      <c r="A20" s="16" t="s">
        <v>14</v>
      </c>
      <c r="B20" s="24">
        <f>SUM(B10,B19)</f>
        <v>100000</v>
      </c>
      <c r="C20" s="24">
        <f t="shared" ref="C20:F20" si="5">SUM(C10,C19)</f>
        <v>175000</v>
      </c>
      <c r="D20" s="24">
        <f t="shared" si="5"/>
        <v>294999.99999999988</v>
      </c>
      <c r="E20" s="24">
        <f t="shared" si="5"/>
        <v>468999.99999999977</v>
      </c>
      <c r="F20" s="24">
        <f t="shared" si="5"/>
        <v>671799.99999999907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Income Statement</vt:lpstr>
      <vt:lpstr>Financial Model</vt:lpstr>
      <vt:lpstr>Cost_Growth__Annually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Nguyen</dc:creator>
  <cp:lastModifiedBy>Vivian Nguyen</cp:lastModifiedBy>
  <dcterms:created xsi:type="dcterms:W3CDTF">2025-08-26T13:02:27Z</dcterms:created>
  <dcterms:modified xsi:type="dcterms:W3CDTF">2025-08-26T14:02:00Z</dcterms:modified>
</cp:coreProperties>
</file>