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Final Files\"/>
    </mc:Choice>
  </mc:AlternateContent>
  <xr:revisionPtr revIDLastSave="0" documentId="13_ncr:1_{0CA103B1-79A9-4A50-9145-AA6367C31F22}" xr6:coauthVersionLast="47" xr6:coauthVersionMax="47" xr10:uidLastSave="{00000000-0000-0000-0000-000000000000}"/>
  <bookViews>
    <workbookView xWindow="-120" yWindow="-120" windowWidth="25440" windowHeight="15390" xr2:uid="{4FDF45FB-1CFF-4C45-826A-662E4B25C150}"/>
  </bookViews>
  <sheets>
    <sheet name="Analysis" sheetId="1" r:id="rId1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F48" i="1"/>
  <c r="G48" i="1"/>
  <c r="H48" i="1"/>
  <c r="I48" i="1"/>
  <c r="J48" i="1"/>
  <c r="L48" i="1"/>
  <c r="M48" i="1"/>
  <c r="E48" i="1"/>
  <c r="E49" i="1"/>
  <c r="F8" i="1"/>
  <c r="K48" i="1" s="1"/>
  <c r="N18" i="1"/>
  <c r="E36" i="1"/>
  <c r="F37" i="1"/>
  <c r="G37" i="1" s="1"/>
  <c r="H37" i="1" s="1"/>
  <c r="I37" i="1" s="1"/>
  <c r="J37" i="1" s="1"/>
  <c r="K37" i="1" s="1"/>
  <c r="L37" i="1" s="1"/>
  <c r="M37" i="1" s="1"/>
  <c r="N37" i="1" s="1"/>
  <c r="E39" i="1"/>
  <c r="F39" i="1"/>
  <c r="G39" i="1"/>
  <c r="H39" i="1"/>
  <c r="I39" i="1"/>
  <c r="J39" i="1"/>
  <c r="K39" i="1"/>
  <c r="L39" i="1"/>
  <c r="M39" i="1"/>
  <c r="N39" i="1"/>
  <c r="G19" i="1" l="1"/>
  <c r="H19" i="1" s="1"/>
  <c r="G18" i="1"/>
  <c r="F18" i="1"/>
  <c r="N51" i="1"/>
  <c r="M51" i="1"/>
  <c r="L51" i="1"/>
  <c r="K51" i="1"/>
  <c r="J51" i="1"/>
  <c r="I51" i="1"/>
  <c r="H51" i="1"/>
  <c r="G51" i="1"/>
  <c r="F51" i="1"/>
  <c r="E51" i="1"/>
  <c r="D44" i="1"/>
  <c r="B51" i="1"/>
  <c r="B44" i="1"/>
  <c r="B28" i="1"/>
  <c r="B46" i="1" s="1"/>
  <c r="F2" i="1" s="1"/>
  <c r="D21" i="1"/>
  <c r="D28" i="1" s="1"/>
  <c r="D48" i="1" l="1"/>
  <c r="I19" i="1"/>
  <c r="J19" i="1" s="1"/>
  <c r="K19" i="1" s="1"/>
  <c r="L19" i="1" s="1"/>
  <c r="M19" i="1" s="1"/>
  <c r="N19" i="1" s="1"/>
  <c r="H1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D51" i="1" l="1"/>
  <c r="D53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I18" i="1"/>
  <c r="F16" i="1"/>
  <c r="J18" i="1" l="1"/>
  <c r="G16" i="1"/>
  <c r="F36" i="1"/>
  <c r="E21" i="1"/>
  <c r="G40" i="1" l="1"/>
  <c r="K18" i="1"/>
  <c r="E33" i="1"/>
  <c r="E30" i="1"/>
  <c r="H16" i="1"/>
  <c r="G36" i="1"/>
  <c r="F40" i="1"/>
  <c r="E40" i="1"/>
  <c r="E25" i="1"/>
  <c r="E28" i="1" s="1"/>
  <c r="L18" i="1" l="1"/>
  <c r="E44" i="1"/>
  <c r="E46" i="1" s="1"/>
  <c r="E53" i="1" s="1"/>
  <c r="I16" i="1"/>
  <c r="H36" i="1"/>
  <c r="H40" i="1"/>
  <c r="F21" i="1"/>
  <c r="M18" i="1" l="1"/>
  <c r="F33" i="1"/>
  <c r="J16" i="1"/>
  <c r="I36" i="1"/>
  <c r="I40" i="1"/>
  <c r="F30" i="1"/>
  <c r="G21" i="1"/>
  <c r="F25" i="1"/>
  <c r="F28" i="1" s="1"/>
  <c r="F44" i="1" l="1"/>
  <c r="F46" i="1" s="1"/>
  <c r="F53" i="1" s="1"/>
  <c r="G25" i="1"/>
  <c r="G28" i="1" s="1"/>
  <c r="K16" i="1"/>
  <c r="J36" i="1"/>
  <c r="J40" i="1"/>
  <c r="G30" i="1"/>
  <c r="G33" i="1"/>
  <c r="H21" i="1"/>
  <c r="K40" i="1" l="1"/>
  <c r="H25" i="1"/>
  <c r="H28" i="1" s="1"/>
  <c r="G44" i="1"/>
  <c r="G46" i="1" s="1"/>
  <c r="G53" i="1" s="1"/>
  <c r="H30" i="1"/>
  <c r="L16" i="1"/>
  <c r="K36" i="1"/>
  <c r="I21" i="1"/>
  <c r="H33" i="1"/>
  <c r="I25" i="1" l="1"/>
  <c r="I28" i="1" s="1"/>
  <c r="H44" i="1"/>
  <c r="H46" i="1" s="1"/>
  <c r="H53" i="1" s="1"/>
  <c r="M16" i="1"/>
  <c r="L36" i="1"/>
  <c r="L40" i="1"/>
  <c r="I30" i="1"/>
  <c r="I33" i="1"/>
  <c r="J21" i="1"/>
  <c r="J25" i="1" l="1"/>
  <c r="J28" i="1" s="1"/>
  <c r="I44" i="1"/>
  <c r="I46" i="1" s="1"/>
  <c r="I53" i="1" s="1"/>
  <c r="J33" i="1"/>
  <c r="N16" i="1"/>
  <c r="M36" i="1"/>
  <c r="M40" i="1"/>
  <c r="J30" i="1"/>
  <c r="J44" i="1" s="1"/>
  <c r="K21" i="1"/>
  <c r="K25" i="1" l="1"/>
  <c r="K28" i="1" s="1"/>
  <c r="J46" i="1"/>
  <c r="J53" i="1" s="1"/>
  <c r="K33" i="1"/>
  <c r="K30" i="1"/>
  <c r="N36" i="1"/>
  <c r="N40" i="1"/>
  <c r="L21" i="1"/>
  <c r="K44" i="1" l="1"/>
  <c r="K46" i="1" s="1"/>
  <c r="K53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L53" i="1" s="1"/>
  <c r="M33" i="1"/>
  <c r="N30" i="1"/>
  <c r="M30" i="1"/>
  <c r="N33" i="1"/>
  <c r="M44" i="1" l="1"/>
  <c r="M46" i="1" s="1"/>
  <c r="M53" i="1" s="1"/>
  <c r="N44" i="1"/>
  <c r="N46" i="1" s="1"/>
  <c r="N53" i="1" l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<sst xmlns="http://schemas.openxmlformats.org/spreadsheetml/2006/main" count="45" uniqueCount="45">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</sst>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14</xdr:col>
      <xdr:colOff>11330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/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4" width="13.28515625" bestFit="1" customWidth="1"/>
    <col min="5" max="5" width="11.140625" bestFit="1" customWidth="1"/>
    <col min="6" max="6" width="14.7109375" bestFit="1" customWidth="1"/>
    <col min="7" max="7" width="10.42578125" bestFit="1" customWidth="1"/>
    <col min="8" max="8" width="12.140625" customWidth="1"/>
    <col min="9" max="10" width="10.42578125" bestFit="1" customWidth="1"/>
    <col min="11" max="11" width="11.42578125" bestFit="1" customWidth="1"/>
    <col min="12" max="13" width="10.42578125" bestFit="1" customWidth="1"/>
    <col min="14" max="14" width="11.42578125" bestFit="1" customWidth="1"/>
  </cols>
  <sheetData>
    <row r="1" spans="1:14" x14ac:dyDescent="0.25">
      <c r="A1" s="36" t="s">
        <v>18</v>
      </c>
      <c r="B1" s="36"/>
      <c r="D1" s="36" t="s">
        <v>25</v>
      </c>
      <c r="E1" s="36"/>
      <c r="F1" s="36"/>
    </row>
    <row r="2" spans="1:14" x14ac:dyDescent="0.2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5">
      <c r="A4" t="s">
        <v>1</v>
      </c>
      <c r="B4" s="10">
        <v>1994</v>
      </c>
    </row>
    <row r="5" spans="1:14" x14ac:dyDescent="0.25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5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5">
      <c r="D7" s="4" t="s">
        <v>39</v>
      </c>
      <c r="E7" s="4"/>
      <c r="F7" s="28">
        <v>0.06</v>
      </c>
      <c r="J7" s="31"/>
    </row>
    <row r="8" spans="1:14" x14ac:dyDescent="0.25">
      <c r="A8" s="36" t="s">
        <v>36</v>
      </c>
      <c r="B8" s="36"/>
      <c r="D8" t="s">
        <v>29</v>
      </c>
      <c r="F8" s="35">
        <f>HLOOKUP(HoldingPeriod,D16:N46,31,0)/ExitCapRate</f>
        <v>49249718.660108991</v>
      </c>
    </row>
    <row r="9" spans="1:14" x14ac:dyDescent="0.25">
      <c r="A9" s="25" t="s">
        <v>38</v>
      </c>
      <c r="B9" s="8">
        <v>0.02</v>
      </c>
    </row>
    <row r="10" spans="1:14" x14ac:dyDescent="0.25">
      <c r="A10" s="4" t="s">
        <v>37</v>
      </c>
      <c r="B10" s="28">
        <v>0.05</v>
      </c>
    </row>
    <row r="14" spans="1:14" x14ac:dyDescent="0.25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5">
      <c r="D15" s="1"/>
      <c r="E15" s="1"/>
      <c r="F15" s="1"/>
    </row>
    <row r="16" spans="1:14" x14ac:dyDescent="0.2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F19*Units*12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9">(Units-E22)*E37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1">$B$39*(1+CostGrowth^E16)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>-E41*E42</f>
        <v>-255103.91666666672</v>
      </c>
      <c r="F40" s="19">
        <f t="shared" ref="F40:N40" si="12">-F41*F42</f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49249718.660108991</v>
      </c>
    </row>
    <row r="49" spans="1:14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49249718.660108991</v>
      </c>
    </row>
    <row r="52" spans="1:14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52204701.779715531</v>
      </c>
    </row>
    <row r="57" spans="1:14" x14ac:dyDescent="0.25">
      <c r="B57" s="9"/>
      <c r="C57" s="32"/>
      <c r="N57" s="9"/>
    </row>
    <row r="64" spans="1:14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2023-12-21T15:59:45Z</dcterms:modified>
</cp:coreProperties>
</file>