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Datacamp_Financial Modelling in Excel /Exercises_and_Datasets/"/>
    </mc:Choice>
  </mc:AlternateContent>
  <xr:revisionPtr revIDLastSave="0" documentId="13_ncr:1_{3700A6C6-CF95-8A41-8579-5DF89A208720}" xr6:coauthVersionLast="47" xr6:coauthVersionMax="47" xr10:uidLastSave="{00000000-0000-0000-0000-000000000000}"/>
  <bookViews>
    <workbookView xWindow="0" yWindow="740" windowWidth="30240" windowHeight="1890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G4" i="9"/>
  <c r="G5" i="9" s="1"/>
  <c r="G3" i="9"/>
  <c r="G2" i="9"/>
  <c r="J3" i="1"/>
  <c r="J4" i="1" s="1"/>
  <c r="J6" i="1"/>
  <c r="C5" i="9"/>
  <c r="C3" i="9"/>
  <c r="C4" i="9"/>
  <c r="C2" i="9"/>
  <c r="J2" i="1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1" i="1" s="1"/>
  <c r="F53" i="1" s="1"/>
  <c r="J48" i="1"/>
  <c r="J51" i="1" s="1"/>
  <c r="J53" i="1" s="1"/>
  <c r="E48" i="1"/>
  <c r="E51" i="1" s="1"/>
  <c r="E53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</calcChain>
</file>

<file path=xl/sharedStrings.xml><?xml version="1.0" encoding="utf-8"?>
<sst xmlns="http://schemas.openxmlformats.org/spreadsheetml/2006/main" count="66" uniqueCount="60">
  <si>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</si>
  <si>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</si>
  <si>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</si>
  <si>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</si>
  <si>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</si>
  <si>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</si>
  <si>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</si>
  <si>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</si>
  <si>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</si>
  <si>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</si>
  <si>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</si>
  <si>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</si>
  <si>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</si>
  <si>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</si>
  <si>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</si>
  <si>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</si>
  <si>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</si>
  <si>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</si>
  <si>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</si>
  <si>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</si>
  <si>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</si>
  <si>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</si>
  <si>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</si>
  <si>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</si>
  <si>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</si>
  <si>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</si>
  <si>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</si>
  <si>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</si>
  <si>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</si>
  <si>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</si>
  <si>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</si>
  <si>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</si>
  <si>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</si>
  <si>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</si>
  <si>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</si>
  <si>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</si>
  <si>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</si>
  <si>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</si>
  <si>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</si>
  <si>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</si>
  <si>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</si>
  <si>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</si>
  <si>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</si>
  <si>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</si>
  <si>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</si>
  <si>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</si>
  <si>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</si>
  <si>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</si>
  <si>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</si>
  <si>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</si>
  <si>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</si>
  <si>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</si>
  <si>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</si>
  <si>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</si>
  <si>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</si>
  <si>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</si>
  <si>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</si>
  <si>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</si>
  <si>
    <t>Rate</t>
  </si>
  <si>
    <t>Nper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</si>
</sst>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  <numFmt numFmtId="169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0" applyNumberFormat="1" applyFill="1"/>
    <xf numFmtId="10" fontId="9" fillId="0" borderId="0" xfId="0" applyNumberFormat="1" applyFont="1"/>
    <xf numFmtId="0" fontId="9" fillId="0" borderId="0" xfId="0" applyFont="1"/>
    <xf numFmtId="165" fontId="9" fillId="0" borderId="0" xfId="1" applyNumberFormat="1" applyFont="1"/>
    <xf numFmtId="10" fontId="6" fillId="2" borderId="0" xfId="0" applyNumberFormat="1" applyFont="1" applyFill="1"/>
    <xf numFmtId="165" fontId="0" fillId="2" borderId="0" xfId="1" applyNumberFormat="1" applyFont="1" applyFill="1"/>
    <xf numFmtId="10" fontId="0" fillId="2" borderId="0" xfId="2" applyNumberFormat="1" applyFont="1" applyFill="1"/>
    <xf numFmtId="10" fontId="9" fillId="0" borderId="0" xfId="2" applyNumberFormat="1" applyFont="1"/>
    <xf numFmtId="14" fontId="0" fillId="0" borderId="0" xfId="0" applyNumberFormat="1"/>
    <xf numFmtId="14" fontId="4" fillId="0" borderId="0" xfId="0" applyNumberFormat="1" applyFont="1"/>
    <xf numFmtId="169" fontId="6" fillId="2" borderId="0" xfId="0" applyNumberFormat="1" applyFont="1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692826</xdr:colOff>
      <xdr:row>0</xdr:row>
      <xdr:rowOff>0</xdr:rowOff>
    </xdr:from>
    <xdr:to>
      <xdr:col>13</xdr:col>
      <xdr:colOff>704750</xdr:colOff>
      <xdr:row>5</xdr:row>
      <xdr:rowOff>167572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746" y="0"/>
          <a:ext cx="2381744" cy="1081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Normal="100" workbookViewId="0">
      <selection activeCell="J7" sqref="J7"/>
    </sheetView>
  </sheetViews>
  <sheetFormatPr baseColWidth="10" defaultColWidth="8.83203125" defaultRowHeight="15" x14ac:dyDescent="0.2"/>
  <cols>
    <col min="1" max="1" width="29.5" customWidth="1"/>
    <col min="2" max="2" width="16.6640625" style="12" bestFit="1" customWidth="1"/>
    <col min="3" max="3" width="14.6640625" customWidth="1"/>
    <col min="4" max="5" width="13.6640625" bestFit="1" customWidth="1"/>
    <col min="6" max="6" width="14.6640625" bestFit="1" customWidth="1"/>
    <col min="7" max="7" width="10.5" bestFit="1" customWidth="1"/>
    <col min="8" max="8" width="12.1640625" customWidth="1"/>
    <col min="9" max="9" width="10.5" bestFit="1" customWidth="1"/>
    <col min="10" max="10" width="15.83203125" bestFit="1" customWidth="1"/>
    <col min="11" max="12" width="11.5" bestFit="1" customWidth="1"/>
    <col min="13" max="13" width="11.6640625" bestFit="1" customWidth="1"/>
    <col min="14" max="14" width="12.5" bestFit="1" customWidth="1"/>
  </cols>
  <sheetData>
    <row r="1" spans="1:14" x14ac:dyDescent="0.2">
      <c r="A1" s="34" t="s">
        <v>18</v>
      </c>
      <c r="B1" s="34"/>
      <c r="D1" s="34" t="s">
        <v>25</v>
      </c>
      <c r="E1" s="34"/>
      <c r="F1" s="34"/>
      <c r="H1" s="34" t="s">
        <v>53</v>
      </c>
      <c r="I1" s="34"/>
      <c r="J1" s="34"/>
    </row>
    <row r="2" spans="1:14" x14ac:dyDescent="0.2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49</v>
      </c>
      <c r="J2" s="30">
        <f>ABS(SUM(D51:E51))</f>
        <v>9288683.333333334</v>
      </c>
    </row>
    <row r="3" spans="1:14" x14ac:dyDescent="0.2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54</v>
      </c>
      <c r="I3" s="4"/>
      <c r="J3" s="41">
        <f>SUM(D53:N53)+J2</f>
        <v>79660390.810465187</v>
      </c>
      <c r="K3" s="26"/>
    </row>
    <row r="4" spans="1:14" x14ac:dyDescent="0.2">
      <c r="A4" t="s">
        <v>1</v>
      </c>
      <c r="B4" s="10">
        <v>1994</v>
      </c>
      <c r="H4" t="s">
        <v>48</v>
      </c>
      <c r="J4" s="37">
        <f>J3/J2</f>
        <v>8.5760691749062232</v>
      </c>
    </row>
    <row r="5" spans="1:14" x14ac:dyDescent="0.2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45">
        <v>0.2</v>
      </c>
    </row>
    <row r="6" spans="1:14" x14ac:dyDescent="0.2">
      <c r="A6" t="s">
        <v>41</v>
      </c>
      <c r="B6" s="10" t="s">
        <v>42</v>
      </c>
      <c r="D6" t="s">
        <v>40</v>
      </c>
      <c r="F6" s="32">
        <v>10</v>
      </c>
      <c r="H6" t="s">
        <v>55</v>
      </c>
      <c r="J6" s="44">
        <f>'TVM Analysis'!C5</f>
        <v>57513078.911139838</v>
      </c>
    </row>
    <row r="7" spans="1:14" x14ac:dyDescent="0.2">
      <c r="D7" s="4" t="s">
        <v>39</v>
      </c>
      <c r="E7" s="4"/>
      <c r="F7" s="27">
        <v>0.05</v>
      </c>
      <c r="H7" s="4" t="s">
        <v>52</v>
      </c>
      <c r="I7" s="4"/>
      <c r="J7" s="51">
        <f>PV(J5,HoldingPeriod,J3)</f>
        <v>-333973964.79694045</v>
      </c>
    </row>
    <row r="8" spans="1:14" x14ac:dyDescent="0.2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51</v>
      </c>
      <c r="J8" s="30"/>
    </row>
    <row r="9" spans="1:14" x14ac:dyDescent="0.2">
      <c r="A9" s="25" t="s">
        <v>38</v>
      </c>
      <c r="B9" s="8">
        <v>0.02</v>
      </c>
      <c r="H9" s="4" t="s">
        <v>56</v>
      </c>
      <c r="I9" s="4"/>
      <c r="J9" s="46"/>
    </row>
    <row r="10" spans="1:14" x14ac:dyDescent="0.2">
      <c r="A10" s="4" t="s">
        <v>37</v>
      </c>
      <c r="B10" s="27">
        <v>0.05</v>
      </c>
      <c r="H10" t="s">
        <v>50</v>
      </c>
      <c r="J10" s="25"/>
    </row>
    <row r="11" spans="1:14" x14ac:dyDescent="0.2">
      <c r="H11" s="4" t="s">
        <v>57</v>
      </c>
      <c r="I11" s="4"/>
      <c r="J11" s="47"/>
    </row>
    <row r="14" spans="1:14" x14ac:dyDescent="0.2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s="49" customFormat="1" x14ac:dyDescent="0.2">
      <c r="B15" s="50"/>
    </row>
    <row r="16" spans="1:14" x14ac:dyDescent="0.2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0">E16+1</f>
        <v>2</v>
      </c>
      <c r="G16" s="31">
        <f t="shared" si="0"/>
        <v>3</v>
      </c>
      <c r="H16" s="31">
        <f t="shared" si="0"/>
        <v>4</v>
      </c>
      <c r="I16" s="31">
        <f t="shared" si="0"/>
        <v>5</v>
      </c>
      <c r="J16" s="31">
        <f t="shared" si="0"/>
        <v>6</v>
      </c>
      <c r="K16" s="31">
        <f t="shared" si="0"/>
        <v>7</v>
      </c>
      <c r="L16" s="31">
        <f t="shared" si="0"/>
        <v>8</v>
      </c>
      <c r="M16" s="31">
        <f>L16+1</f>
        <v>9</v>
      </c>
      <c r="N16" s="31">
        <f t="shared" si="0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2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2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2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29"/>
      <c r="E23" s="29">
        <f t="shared" ref="E23:N23" si="4">E22/Units</f>
        <v>0</v>
      </c>
      <c r="F23" s="29">
        <f t="shared" si="4"/>
        <v>0.75</v>
      </c>
      <c r="G23" s="29">
        <f t="shared" si="4"/>
        <v>0.95</v>
      </c>
      <c r="H23" s="29">
        <f t="shared" si="4"/>
        <v>0.95</v>
      </c>
      <c r="I23" s="29">
        <f t="shared" si="4"/>
        <v>0.95</v>
      </c>
      <c r="J23" s="29">
        <f t="shared" si="4"/>
        <v>0.95</v>
      </c>
      <c r="K23" s="29">
        <f t="shared" si="4"/>
        <v>0.95</v>
      </c>
      <c r="L23" s="29">
        <f t="shared" si="4"/>
        <v>0.95</v>
      </c>
      <c r="M23" s="29">
        <f t="shared" si="4"/>
        <v>0.95</v>
      </c>
      <c r="N23" s="29">
        <f t="shared" si="4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59099662.392130777</v>
      </c>
    </row>
    <row r="49" spans="1:14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59099662.392130777</v>
      </c>
    </row>
    <row r="52" spans="1:14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">
      <c r="A53" s="3" t="s">
        <v>21</v>
      </c>
      <c r="B53" s="18">
        <f>SUM(B46,B51)</f>
        <v>416139</v>
      </c>
      <c r="C53" s="30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1990032.2644440001</v>
      </c>
      <c r="H53" s="18">
        <f t="shared" si="18"/>
        <v>2108089.57838888</v>
      </c>
      <c r="I53" s="18">
        <f t="shared" si="18"/>
        <v>2232206.5383697771</v>
      </c>
      <c r="J53" s="18">
        <f t="shared" si="18"/>
        <v>2362690.978937435</v>
      </c>
      <c r="K53" s="18">
        <f t="shared" si="18"/>
        <v>2499864.5411057891</v>
      </c>
      <c r="L53" s="18">
        <f t="shared" si="18"/>
        <v>2644064.9796329779</v>
      </c>
      <c r="M53" s="18">
        <f t="shared" si="18"/>
        <v>2795647.0023156828</v>
      </c>
      <c r="N53" s="18">
        <f t="shared" si="18"/>
        <v>62054645.511737317</v>
      </c>
    </row>
    <row r="57" spans="1:14" x14ac:dyDescent="0.2">
      <c r="A57" s="30"/>
      <c r="B57" s="33"/>
      <c r="C57" s="30"/>
      <c r="D57" s="30"/>
      <c r="E57" s="30"/>
      <c r="F57" s="30"/>
      <c r="N57" s="9"/>
    </row>
    <row r="58" spans="1:14" x14ac:dyDescent="0.2">
      <c r="A58" s="37"/>
      <c r="B58" s="33"/>
      <c r="C58" s="33"/>
      <c r="D58" s="33"/>
      <c r="E58" s="33"/>
      <c r="F58" s="33"/>
    </row>
    <row r="59" spans="1:14" x14ac:dyDescent="0.2">
      <c r="A59" s="37"/>
      <c r="B59" s="33"/>
      <c r="C59" s="33"/>
      <c r="D59" s="33"/>
      <c r="E59" s="33"/>
      <c r="F59" s="33"/>
    </row>
    <row r="60" spans="1:14" x14ac:dyDescent="0.2">
      <c r="A60" s="37"/>
      <c r="B60" s="33"/>
      <c r="C60" s="33"/>
      <c r="D60" s="33"/>
      <c r="E60" s="33"/>
      <c r="F60" s="33"/>
    </row>
    <row r="61" spans="1:14" x14ac:dyDescent="0.2">
      <c r="A61" s="37"/>
      <c r="B61" s="33"/>
      <c r="C61" s="33"/>
      <c r="D61" s="33"/>
      <c r="E61" s="33"/>
      <c r="F61" s="33"/>
    </row>
    <row r="62" spans="1:14" x14ac:dyDescent="0.2">
      <c r="A62" s="37"/>
      <c r="B62" s="33"/>
      <c r="C62" s="33"/>
      <c r="D62" s="33"/>
      <c r="E62" s="33"/>
      <c r="F62" s="33"/>
    </row>
    <row r="64" spans="1:14" x14ac:dyDescent="0.2">
      <c r="A64" s="12"/>
      <c r="B64"/>
    </row>
    <row r="65" spans="1:2" x14ac:dyDescent="0.2">
      <c r="A65" s="12"/>
      <c r="B65"/>
    </row>
    <row r="66" spans="1:2" x14ac:dyDescent="0.2">
      <c r="A66" s="12"/>
      <c r="B66"/>
    </row>
    <row r="67" spans="1:2" x14ac:dyDescent="0.2">
      <c r="A67" s="12"/>
      <c r="B67"/>
    </row>
    <row r="68" spans="1:2" x14ac:dyDescent="0.2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workbookViewId="0">
      <selection activeCell="A4" sqref="A4:XFD4"/>
    </sheetView>
  </sheetViews>
  <sheetFormatPr baseColWidth="10" defaultColWidth="8.83203125" defaultRowHeight="15" x14ac:dyDescent="0.2"/>
  <cols>
    <col min="1" max="1" width="18.83203125" bestFit="1" customWidth="1"/>
    <col min="2" max="2" width="11" bestFit="1" customWidth="1"/>
    <col min="3" max="3" width="14.1640625" bestFit="1" customWidth="1"/>
    <col min="5" max="5" width="18.83203125" bestFit="1" customWidth="1"/>
    <col min="6" max="6" width="11" style="12" bestFit="1" customWidth="1"/>
    <col min="7" max="7" width="12.6640625" style="12" bestFit="1" customWidth="1"/>
  </cols>
  <sheetData>
    <row r="1" spans="1:7" x14ac:dyDescent="0.2">
      <c r="A1" s="34" t="s">
        <v>47</v>
      </c>
      <c r="B1" s="34"/>
      <c r="C1" s="34"/>
      <c r="E1" s="34" t="s">
        <v>46</v>
      </c>
      <c r="F1" s="34"/>
      <c r="G1" s="34"/>
    </row>
    <row r="2" spans="1:7" x14ac:dyDescent="0.2">
      <c r="A2" t="s">
        <v>58</v>
      </c>
      <c r="B2" s="38"/>
      <c r="C2" s="42">
        <f>Analysis!J5</f>
        <v>0.2</v>
      </c>
      <c r="E2" t="s">
        <v>58</v>
      </c>
      <c r="F2" s="38"/>
      <c r="G2" s="48">
        <f>Analysis!J5</f>
        <v>0.2</v>
      </c>
    </row>
    <row r="3" spans="1:7" x14ac:dyDescent="0.2">
      <c r="A3" t="s">
        <v>59</v>
      </c>
      <c r="B3" s="38"/>
      <c r="C3" s="43">
        <f>Analysis!F6</f>
        <v>10</v>
      </c>
      <c r="E3" t="s">
        <v>59</v>
      </c>
      <c r="F3" s="38"/>
      <c r="G3" s="44">
        <f>HoldingPeriod</f>
        <v>10</v>
      </c>
    </row>
    <row r="4" spans="1:7" x14ac:dyDescent="0.2">
      <c r="A4" t="s">
        <v>52</v>
      </c>
      <c r="B4" s="39"/>
      <c r="C4" s="44">
        <f>Analysis!J2</f>
        <v>9288683.333333334</v>
      </c>
      <c r="E4" t="s">
        <v>55</v>
      </c>
      <c r="F4" s="39"/>
      <c r="G4" s="44">
        <f>Analysis!J3</f>
        <v>79660390.810465187</v>
      </c>
    </row>
    <row r="5" spans="1:7" x14ac:dyDescent="0.2">
      <c r="A5" t="s">
        <v>55</v>
      </c>
      <c r="B5" s="40"/>
      <c r="C5" s="16">
        <f>FV(C2,C3,,-C4)</f>
        <v>57513078.911139838</v>
      </c>
      <c r="E5" t="s">
        <v>52</v>
      </c>
      <c r="F5" s="40"/>
      <c r="G5" s="16">
        <f>ABS(PV(G2,G3,G4,))</f>
        <v>333973964.79694045</v>
      </c>
    </row>
    <row r="6" spans="1:7" x14ac:dyDescent="0.2">
      <c r="B6" s="12"/>
      <c r="C6" s="12"/>
      <c r="G6" s="42"/>
    </row>
    <row r="7" spans="1:7" x14ac:dyDescent="0.2">
      <c r="B7" s="12"/>
      <c r="C7" s="12"/>
    </row>
    <row r="8" spans="1:7" x14ac:dyDescent="0.2">
      <c r="B8" s="12"/>
      <c r="C8" s="12"/>
    </row>
    <row r="9" spans="1:7" x14ac:dyDescent="0.2">
      <c r="B9" s="12"/>
      <c r="C9" s="12"/>
    </row>
    <row r="10" spans="1:7" x14ac:dyDescent="0.2">
      <c r="B10" s="12"/>
      <c r="C10" s="12"/>
    </row>
    <row r="11" spans="1:7" x14ac:dyDescent="0.2">
      <c r="B11" s="12"/>
      <c r="C11" s="12"/>
    </row>
    <row r="12" spans="1:7" x14ac:dyDescent="0.2">
      <c r="B12" s="12"/>
      <c r="C12" s="12"/>
    </row>
    <row r="13" spans="1:7" x14ac:dyDescent="0.2">
      <c r="B13" s="12"/>
      <c r="C13" s="12"/>
    </row>
    <row r="14" spans="1:7" x14ac:dyDescent="0.2">
      <c r="B14" s="12"/>
      <c r="C14" s="12"/>
    </row>
    <row r="15" spans="1:7" x14ac:dyDescent="0.2">
      <c r="B15" s="12"/>
      <c r="C15" s="12"/>
    </row>
    <row r="16" spans="1:7" x14ac:dyDescent="0.2">
      <c r="B16" s="12"/>
      <c r="C16" s="12"/>
    </row>
    <row r="17" spans="2:3" x14ac:dyDescent="0.2">
      <c r="B17" s="12"/>
      <c r="C17" s="12"/>
    </row>
    <row r="18" spans="2:3" x14ac:dyDescent="0.2">
      <c r="B18" s="12"/>
      <c r="C18" s="12"/>
    </row>
    <row r="19" spans="2:3" x14ac:dyDescent="0.2">
      <c r="B19" s="12"/>
      <c r="C19" s="12"/>
    </row>
    <row r="20" spans="2:3" x14ac:dyDescent="0.2">
      <c r="B20" s="12"/>
      <c r="C20" s="12"/>
    </row>
    <row r="21" spans="2:3" x14ac:dyDescent="0.2">
      <c r="B21" s="12"/>
      <c r="C21" s="12"/>
    </row>
    <row r="22" spans="2:3" x14ac:dyDescent="0.2">
      <c r="B22" s="12"/>
      <c r="C22" s="12"/>
    </row>
    <row r="23" spans="2:3" x14ac:dyDescent="0.2">
      <c r="B23" s="12"/>
      <c r="C23" s="12"/>
    </row>
    <row r="24" spans="2:3" x14ac:dyDescent="0.2">
      <c r="B24" s="12"/>
      <c r="C24" s="12"/>
    </row>
    <row r="25" spans="2:3" x14ac:dyDescent="0.2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TVM 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Vivian Nguyen</cp:lastModifiedBy>
  <dcterms:created xsi:type="dcterms:W3CDTF">2023-09-18T02:06:14Z</dcterms:created>
  <dcterms:modified xsi:type="dcterms:W3CDTF">2025-11-04T14:20:46Z</dcterms:modified>
</cp:coreProperties>
</file>