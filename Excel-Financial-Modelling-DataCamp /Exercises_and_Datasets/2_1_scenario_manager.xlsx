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ason.prassides\Desktop\Financial Modeling in Excel\Final Files\"/>
    </mc:Choice>
  </mc:AlternateContent>
  <xr:revisionPtr revIDLastSave="0" documentId="13_ncr:1_{CE91017D-F899-45CB-BE9E-068131F36EBC}" xr6:coauthVersionLast="47" xr6:coauthVersionMax="47" xr10:uidLastSave="{00000000-0000-0000-0000-000000000000}"/>
  <bookViews>
    <workbookView xWindow="-120" yWindow="-120" windowWidth="25440" windowHeight="15390" activeTab="1" xr2:uid="{4FDF45FB-1CFF-4C45-826A-662E4B25C150}"/>
  </bookViews>
  <sheets>
    <sheet name="Scenario Summary" sheetId="5" r:id="rId1"/>
    <sheet name="Analysis" sheetId="1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/>
  <c r="F39" i="1"/>
  <c r="G39" i="1"/>
  <c r="H39" i="1"/>
  <c r="I39" i="1"/>
  <c r="J39" i="1"/>
  <c r="K39" i="1"/>
  <c r="L39" i="1"/>
  <c r="M39" i="1"/>
  <c r="N39" i="1"/>
  <c r="E39" i="1"/>
  <c r="E36" i="1"/>
  <c r="G36" i="1"/>
  <c r="H36" i="1"/>
  <c r="I36" i="1"/>
  <c r="J36" i="1"/>
  <c r="K36" i="1"/>
  <c r="L36" i="1"/>
  <c r="M36" i="1"/>
  <c r="N36" i="1"/>
  <c r="F36" i="1"/>
  <c r="F18" i="1"/>
  <c r="F48" i="1"/>
  <c r="G48" i="1"/>
  <c r="H48" i="1"/>
  <c r="I48" i="1"/>
  <c r="J48" i="1"/>
  <c r="M48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M51" i="1"/>
  <c r="J51" i="1"/>
  <c r="I51" i="1"/>
  <c r="H51" i="1"/>
  <c r="G51" i="1"/>
  <c r="F51" i="1"/>
  <c r="D44" i="1"/>
  <c r="B51" i="1"/>
  <c r="B44" i="1"/>
  <c r="B28" i="1"/>
  <c r="B46" i="1" s="1"/>
  <c r="F2" i="1" s="1"/>
  <c r="D21" i="1"/>
  <c r="D28" i="1" s="1"/>
  <c r="H19" i="1" l="1"/>
  <c r="H18" i="1" s="1"/>
  <c r="G18" i="1"/>
  <c r="D4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I19" i="1" l="1"/>
  <c r="J19" i="1" s="1"/>
  <c r="D51" i="1"/>
  <c r="D53" i="1" s="1"/>
  <c r="E42" i="1"/>
  <c r="F16" i="1"/>
  <c r="I18" i="1" l="1"/>
  <c r="K19" i="1"/>
  <c r="J18" i="1"/>
  <c r="F42" i="1"/>
  <c r="E40" i="1"/>
  <c r="G16" i="1"/>
  <c r="E21" i="1"/>
  <c r="L19" i="1" l="1"/>
  <c r="K18" i="1"/>
  <c r="G42" i="1"/>
  <c r="F40" i="1"/>
  <c r="E33" i="1"/>
  <c r="E30" i="1"/>
  <c r="H16" i="1"/>
  <c r="E25" i="1"/>
  <c r="E28" i="1" s="1"/>
  <c r="M19" i="1" l="1"/>
  <c r="L18" i="1"/>
  <c r="H42" i="1"/>
  <c r="G40" i="1"/>
  <c r="E44" i="1"/>
  <c r="E46" i="1" s="1"/>
  <c r="I16" i="1"/>
  <c r="F21" i="1"/>
  <c r="N19" i="1" l="1"/>
  <c r="N18" i="1" s="1"/>
  <c r="M18" i="1"/>
  <c r="I42" i="1"/>
  <c r="H40" i="1"/>
  <c r="F33" i="1"/>
  <c r="J16" i="1"/>
  <c r="F30" i="1"/>
  <c r="G21" i="1"/>
  <c r="F25" i="1"/>
  <c r="F28" i="1" s="1"/>
  <c r="J42" i="1" l="1"/>
  <c r="I40" i="1"/>
  <c r="F44" i="1"/>
  <c r="F46" i="1" s="1"/>
  <c r="F53" i="1" s="1"/>
  <c r="G25" i="1"/>
  <c r="G28" i="1" s="1"/>
  <c r="K16" i="1"/>
  <c r="G30" i="1"/>
  <c r="G33" i="1"/>
  <c r="H21" i="1"/>
  <c r="K42" i="1" l="1"/>
  <c r="J40" i="1"/>
  <c r="H25" i="1"/>
  <c r="H28" i="1" s="1"/>
  <c r="G44" i="1"/>
  <c r="G46" i="1" s="1"/>
  <c r="G53" i="1" s="1"/>
  <c r="H30" i="1"/>
  <c r="L16" i="1"/>
  <c r="I21" i="1"/>
  <c r="H33" i="1"/>
  <c r="L42" i="1" l="1"/>
  <c r="K40" i="1"/>
  <c r="I25" i="1"/>
  <c r="I28" i="1" s="1"/>
  <c r="H44" i="1"/>
  <c r="H46" i="1" s="1"/>
  <c r="H53" i="1" s="1"/>
  <c r="M16" i="1"/>
  <c r="I30" i="1"/>
  <c r="I33" i="1"/>
  <c r="J21" i="1"/>
  <c r="M42" i="1" l="1"/>
  <c r="L40" i="1"/>
  <c r="J25" i="1"/>
  <c r="J28" i="1" s="1"/>
  <c r="I44" i="1"/>
  <c r="I46" i="1" s="1"/>
  <c r="I53" i="1" s="1"/>
  <c r="J33" i="1"/>
  <c r="N16" i="1"/>
  <c r="J30" i="1"/>
  <c r="K21" i="1"/>
  <c r="N42" i="1" l="1"/>
  <c r="N40" i="1" s="1"/>
  <c r="M40" i="1"/>
  <c r="J44" i="1"/>
  <c r="J46" i="1" s="1"/>
  <c r="J53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M53" i="1" s="1"/>
  <c r="N44" i="1"/>
  <c r="N46" i="1" s="1"/>
  <c r="F8" i="1" s="1"/>
  <c r="E48" i="1" l="1"/>
  <c r="E51" i="1" s="1"/>
  <c r="E53" i="1" s="1"/>
  <c r="L48" i="1"/>
  <c r="L51" i="1" s="1"/>
  <c r="L53" i="1" s="1"/>
  <c r="K48" i="1"/>
  <c r="K51" i="1" s="1"/>
  <c r="K53" i="1" s="1"/>
  <c r="N48" i="1"/>
  <c r="N51" i="1" s="1"/>
  <c r="N53" i="1" s="1"/>
</calcChain>
</file>

<file path=xl/sharedStrings.xml><?xml version="1.0" encoding="utf-8"?>
<sst xmlns="http://schemas.openxmlformats.org/spreadsheetml/2006/main" count="59" uniqueCount="59">
  <si>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</si>
  <si>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</si>
  <si>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</si>
  <si>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</si>
  <si>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</si>
  <si>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</si>
  <si>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</si>
  <si>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</si>
  <si>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</si>
  <si>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</si>
  <si>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</si>
  <si>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</si>
  <si>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</si>
  <si>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</si>
  <si>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</si>
  <si>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</si>
  <si>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</si>
  <si>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</si>
  <si>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</si>
  <si>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</si>
  <si>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</si>
  <si>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</si>
  <si>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</si>
  <si>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</si>
  <si>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</si>
  <si>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</si>
  <si>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</si>
  <si>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</si>
  <si>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</si>
  <si>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</si>
  <si>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</si>
  <si>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</si>
  <si>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</si>
  <si>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</si>
  <si>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</si>
  <si>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</si>
  <si>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</si>
  <si>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</si>
  <si>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</si>
  <si>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</si>
  <si>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</si>
  <si>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</si>
  <si>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</si>
  <si>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</si>
  <si>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</si>
  <si>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RentGrowth</t>
  </si>
  <si>
    <t>StartingRent</t>
  </si>
  <si>
    <t>$N$46</t>
  </si>
  <si>
    <t>Expected Rent</t>
  </si>
  <si>
    <t>The expected rent and rent growth assumptions.</t>
  </si>
  <si>
    <t>High Rent</t>
  </si>
  <si>
    <t>Higher than expected rent and rent growth assumptions.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</si>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</sst>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65" fontId="0" fillId="0" borderId="3" xfId="0" applyNumberFormat="1" applyBorder="1"/>
    <xf numFmtId="0" fontId="9" fillId="4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0" fillId="0" borderId="4" xfId="0" applyBorder="1"/>
    <xf numFmtId="0" fontId="10" fillId="5" borderId="0" xfId="0" applyFont="1" applyFill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10" fontId="0" fillId="6" borderId="0" xfId="0" applyNumberFormat="1" applyFill="1"/>
    <xf numFmtId="165" fontId="0" fillId="6" borderId="0" xfId="0" applyNumberFormat="1" applyFill="1"/>
    <xf numFmtId="0" fontId="13" fillId="0" borderId="0" xfId="0" applyFont="1" applyAlignment="1">
      <alignment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643790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1D6A-1CAA-41AF-A9DF-DACF926AAD4B}">
  <sheetPr>
    <outlinePr summaryBelow="0"/>
  </sheetPr>
  <dimension ref="B1:H12"/>
  <sheetViews>
    <sheetView showGridLines="0" workbookViewId="0">
      <selection activeCell="H9" sqref="H9"/>
    </sheetView>
  </sheetViews>
  <sheetFormatPr defaultRowHeight="15" outlineLevelRow="1" outlineLevelCol="1" x14ac:dyDescent="0.25"/>
  <cols>
    <col min="3" max="3" width="11.42578125" bestFit="1" customWidth="1"/>
    <col min="4" max="6" width="13.140625" bestFit="1" customWidth="1" outlineLevel="1"/>
    <col min="8" max="8" width="10.5703125" bestFit="1" customWidth="1"/>
  </cols>
  <sheetData>
    <row r="1" spans="2:8" ht="15.75" thickBot="1" x14ac:dyDescent="0.3"/>
    <row r="2" spans="2:8" ht="15.75" x14ac:dyDescent="0.25">
      <c r="B2" s="41" t="s">
        <v>52</v>
      </c>
      <c r="C2" s="41"/>
      <c r="D2" s="46"/>
      <c r="E2" s="46"/>
      <c r="F2" s="46"/>
    </row>
    <row r="3" spans="2:8" ht="15.75" collapsed="1" x14ac:dyDescent="0.25">
      <c r="B3" s="40"/>
      <c r="C3" s="40"/>
      <c r="D3" s="47" t="s">
        <v>54</v>
      </c>
      <c r="E3" s="47" t="s">
        <v>48</v>
      </c>
      <c r="F3" s="47" t="s">
        <v>50</v>
      </c>
    </row>
    <row r="4" spans="2:8" ht="45" hidden="1" outlineLevel="1" x14ac:dyDescent="0.25">
      <c r="B4" s="43"/>
      <c r="C4" s="43"/>
      <c r="E4" s="50" t="s">
        <v>49</v>
      </c>
      <c r="F4" s="50" t="s">
        <v>51</v>
      </c>
    </row>
    <row r="5" spans="2:8" x14ac:dyDescent="0.25">
      <c r="B5" s="44" t="s">
        <v>53</v>
      </c>
      <c r="C5" s="44"/>
      <c r="D5" s="42"/>
      <c r="E5" s="42"/>
      <c r="F5" s="42"/>
    </row>
    <row r="6" spans="2:8" outlineLevel="1" x14ac:dyDescent="0.25">
      <c r="B6" s="43"/>
      <c r="C6" s="43" t="s">
        <v>45</v>
      </c>
      <c r="D6" s="25">
        <v>0.08</v>
      </c>
      <c r="E6" s="48">
        <v>0.05</v>
      </c>
      <c r="F6" s="48">
        <v>0.08</v>
      </c>
    </row>
    <row r="7" spans="2:8" outlineLevel="1" x14ac:dyDescent="0.25">
      <c r="B7" s="43"/>
      <c r="C7" s="43" t="s">
        <v>46</v>
      </c>
      <c r="D7" s="32">
        <v>2500</v>
      </c>
      <c r="E7" s="49">
        <v>2300</v>
      </c>
      <c r="F7" s="49">
        <v>2500</v>
      </c>
    </row>
    <row r="8" spans="2:8" x14ac:dyDescent="0.25">
      <c r="B8" s="44" t="s">
        <v>55</v>
      </c>
      <c r="C8" s="44"/>
      <c r="D8" s="42"/>
      <c r="E8" s="42"/>
      <c r="F8" s="42"/>
    </row>
    <row r="9" spans="2:8" ht="15.75" outlineLevel="1" thickBot="1" x14ac:dyDescent="0.3">
      <c r="B9" s="45"/>
      <c r="C9" s="45" t="s">
        <v>47</v>
      </c>
      <c r="D9" s="39">
        <v>4210514.7010233803</v>
      </c>
      <c r="E9" s="39">
        <v>2954983.1196065401</v>
      </c>
      <c r="F9" s="39">
        <v>4210514.7010233803</v>
      </c>
      <c r="H9" s="32">
        <f>F9-E9</f>
        <v>1255531.5814168402</v>
      </c>
    </row>
    <row r="10" spans="2:8" x14ac:dyDescent="0.25">
      <c r="B10" t="s">
        <v>56</v>
      </c>
      <c r="H10" s="32"/>
    </row>
    <row r="11" spans="2:8" x14ac:dyDescent="0.25">
      <c r="B11" t="s">
        <v>57</v>
      </c>
    </row>
    <row r="12" spans="2:8" x14ac:dyDescent="0.25">
      <c r="B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/>
  </sheetViews>
  <sheetFormatPr defaultRowHeight="15" x14ac:dyDescent="0.25"/>
  <cols>
    <col min="1" max="1" width="29.42578125" customWidth="1"/>
    <col min="2" max="2" width="16.7109375" style="12" bestFit="1" customWidth="1"/>
    <col min="3" max="3" width="14.7109375" customWidth="1"/>
    <col min="4" max="4" width="13.28515625" bestFit="1" customWidth="1"/>
    <col min="5" max="5" width="11.140625" bestFit="1" customWidth="1"/>
    <col min="6" max="6" width="14.7109375" bestFit="1" customWidth="1"/>
    <col min="7" max="7" width="10.42578125" bestFit="1" customWidth="1"/>
    <col min="8" max="8" width="12.140625" customWidth="1"/>
    <col min="9" max="10" width="10.42578125" bestFit="1" customWidth="1"/>
    <col min="11" max="12" width="11.42578125" bestFit="1" customWidth="1"/>
    <col min="13" max="13" width="11.7109375" bestFit="1" customWidth="1"/>
    <col min="14" max="14" width="11.42578125" bestFit="1" customWidth="1"/>
  </cols>
  <sheetData>
    <row r="1" spans="1:14" x14ac:dyDescent="0.25">
      <c r="A1" s="36" t="s">
        <v>18</v>
      </c>
      <c r="B1" s="36"/>
      <c r="D1" s="36" t="s">
        <v>25</v>
      </c>
      <c r="E1" s="36"/>
      <c r="F1" s="36"/>
    </row>
    <row r="2" spans="1:14" x14ac:dyDescent="0.25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5">
      <c r="A4" t="s">
        <v>1</v>
      </c>
      <c r="B4" s="10">
        <v>1994</v>
      </c>
    </row>
    <row r="5" spans="1:14" x14ac:dyDescent="0.25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25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25">
      <c r="D7" s="4" t="s">
        <v>39</v>
      </c>
      <c r="E7" s="4"/>
      <c r="F7" s="28">
        <v>0.06</v>
      </c>
      <c r="J7" s="31"/>
    </row>
    <row r="8" spans="1:14" x14ac:dyDescent="0.25">
      <c r="A8" s="36" t="s">
        <v>36</v>
      </c>
      <c r="B8" s="36"/>
      <c r="D8" t="s">
        <v>29</v>
      </c>
      <c r="F8" s="35">
        <f>HLOOKUP(HoldingPeriod,D16:N46,31,0)/ExitCapRate</f>
        <v>49249718.660108991</v>
      </c>
    </row>
    <row r="9" spans="1:14" x14ac:dyDescent="0.25">
      <c r="A9" s="25" t="s">
        <v>38</v>
      </c>
      <c r="B9" s="8">
        <v>0.02</v>
      </c>
    </row>
    <row r="10" spans="1:14" x14ac:dyDescent="0.25">
      <c r="A10" s="4" t="s">
        <v>37</v>
      </c>
      <c r="B10" s="28">
        <v>0.05</v>
      </c>
    </row>
    <row r="14" spans="1:14" x14ac:dyDescent="0.25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5">
      <c r="D15" s="1"/>
      <c r="E15" s="1"/>
      <c r="F15" s="1"/>
    </row>
    <row r="16" spans="1:14" x14ac:dyDescent="0.25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5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5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49249718.660108991</v>
      </c>
    </row>
    <row r="49" spans="1:14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5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49249718.660108991</v>
      </c>
    </row>
    <row r="52" spans="1:14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52204701.779715531</v>
      </c>
    </row>
    <row r="57" spans="1:14" x14ac:dyDescent="0.25">
      <c r="B57" s="9"/>
      <c r="C57" s="32"/>
      <c r="N57" s="9"/>
    </row>
    <row r="64" spans="1:14" x14ac:dyDescent="0.25">
      <c r="A64" s="12"/>
      <c r="B64"/>
    </row>
    <row r="65" spans="1:2" x14ac:dyDescent="0.25">
      <c r="A65" s="12"/>
      <c r="B65"/>
    </row>
    <row r="66" spans="1:2" x14ac:dyDescent="0.25">
      <c r="A66" s="12"/>
      <c r="B66"/>
    </row>
    <row r="67" spans="1:2" x14ac:dyDescent="0.25">
      <c r="A67" s="12"/>
      <c r="B67"/>
    </row>
    <row r="68" spans="1:2" x14ac:dyDescent="0.25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Scenario Summary</vt:lpstr>
      <vt:lpstr>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</cp:lastModifiedBy>
  <dcterms:created xsi:type="dcterms:W3CDTF">2023-09-18T02:06:14Z</dcterms:created>
  <dcterms:modified xsi:type="dcterms:W3CDTF">2023-12-21T16:00:34Z</dcterms:modified>
</cp:coreProperties>
</file>