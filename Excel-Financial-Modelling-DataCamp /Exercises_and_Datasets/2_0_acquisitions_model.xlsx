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viannguyen/Desktop/Excel Learning /Datacamp_Financial Modelling in Excel /Exercises_and_Datasets/"/>
    </mc:Choice>
  </mc:AlternateContent>
  <xr:revisionPtr revIDLastSave="0" documentId="13_ncr:1_{0AA15C26-8BF9-744C-9AFE-708840244ACC}" xr6:coauthVersionLast="47" xr6:coauthVersionMax="47" xr10:uidLastSave="{00000000-0000-0000-0000-000000000000}"/>
  <bookViews>
    <workbookView xWindow="0" yWindow="740" windowWidth="30240" windowHeight="18900" activeTab="1" xr2:uid="{4FDF45FB-1CFF-4C45-826A-662E4B25C150}"/>
  </bookViews>
  <sheets>
    <sheet name="Scenario Summary 3" sheetId="6" r:id="rId1"/>
    <sheet name="Analysis" sheetId="1" r:id="rId2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ExitCapRate" comment="The capitalization rate assumed for determining the sell price of the property.">Analysis!$F$7</definedName>
    <definedName name="HoldingPeriod" comment="The number of years until the asset is sold.">Analysis!$F$6</definedName>
    <definedName name="PurchasePrice" comment="The purchase price of the property.">Analysis!$F$2</definedName>
    <definedName name="RentGrowth" comment="The annual rate at which rental income will increase.">Analysis!$B$10</definedName>
    <definedName name="SellPrice" comment="The estimated sale price of the asset based based on net operating income and the exit cap rate.">Analysis!$F$8</definedName>
    <definedName name="StartingRent" comment="This is the expected rent starting in Year 2.">Analysis!$F$19</definedName>
    <definedName name="Units" comment="The number of rentable units in the property.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6" l="1"/>
  <c r="F39" i="1"/>
  <c r="G39" i="1"/>
  <c r="H39" i="1"/>
  <c r="I39" i="1"/>
  <c r="J39" i="1"/>
  <c r="K39" i="1"/>
  <c r="L39" i="1"/>
  <c r="M39" i="1"/>
  <c r="N39" i="1"/>
  <c r="E39" i="1"/>
  <c r="E36" i="1"/>
  <c r="G36" i="1"/>
  <c r="H36" i="1"/>
  <c r="I36" i="1"/>
  <c r="J36" i="1"/>
  <c r="K36" i="1"/>
  <c r="L36" i="1"/>
  <c r="M36" i="1"/>
  <c r="N36" i="1"/>
  <c r="F36" i="1"/>
  <c r="F18" i="1"/>
  <c r="F48" i="1"/>
  <c r="G48" i="1"/>
  <c r="H48" i="1"/>
  <c r="I48" i="1"/>
  <c r="J48" i="1"/>
  <c r="M48" i="1"/>
  <c r="E49" i="1"/>
  <c r="F37" i="1"/>
  <c r="G37" i="1" s="1"/>
  <c r="H37" i="1" s="1"/>
  <c r="I37" i="1" s="1"/>
  <c r="J37" i="1" s="1"/>
  <c r="K37" i="1" s="1"/>
  <c r="L37" i="1" s="1"/>
  <c r="M37" i="1" s="1"/>
  <c r="N37" i="1" s="1"/>
  <c r="G19" i="1" l="1"/>
  <c r="M51" i="1"/>
  <c r="J51" i="1"/>
  <c r="I51" i="1"/>
  <c r="H51" i="1"/>
  <c r="G51" i="1"/>
  <c r="F51" i="1"/>
  <c r="D44" i="1"/>
  <c r="B51" i="1"/>
  <c r="B44" i="1"/>
  <c r="B28" i="1"/>
  <c r="B46" i="1" s="1"/>
  <c r="F2" i="1" s="1"/>
  <c r="D21" i="1"/>
  <c r="D28" i="1" s="1"/>
  <c r="H19" i="1" l="1"/>
  <c r="H18" i="1" s="1"/>
  <c r="G18" i="1"/>
  <c r="D48" i="1"/>
  <c r="I19" i="1"/>
  <c r="D46" i="1"/>
  <c r="B53" i="1"/>
  <c r="L23" i="1"/>
  <c r="M23" i="1"/>
  <c r="N23" i="1"/>
  <c r="K23" i="1"/>
  <c r="J23" i="1"/>
  <c r="I23" i="1"/>
  <c r="H23" i="1"/>
  <c r="G23" i="1"/>
  <c r="F23" i="1"/>
  <c r="E23" i="1"/>
  <c r="E16" i="1"/>
  <c r="J19" i="1" l="1"/>
  <c r="I18" i="1"/>
  <c r="D51" i="1"/>
  <c r="D53" i="1" s="1"/>
  <c r="E42" i="1"/>
  <c r="F16" i="1"/>
  <c r="K19" i="1" l="1"/>
  <c r="J18" i="1"/>
  <c r="F42" i="1"/>
  <c r="E40" i="1"/>
  <c r="G16" i="1"/>
  <c r="E21" i="1"/>
  <c r="L19" i="1" l="1"/>
  <c r="K18" i="1"/>
  <c r="G42" i="1"/>
  <c r="F40" i="1"/>
  <c r="E33" i="1"/>
  <c r="E30" i="1"/>
  <c r="H16" i="1"/>
  <c r="E25" i="1"/>
  <c r="E28" i="1" s="1"/>
  <c r="M19" i="1" l="1"/>
  <c r="L18" i="1"/>
  <c r="H42" i="1"/>
  <c r="G40" i="1"/>
  <c r="E44" i="1"/>
  <c r="E46" i="1" s="1"/>
  <c r="I16" i="1"/>
  <c r="F21" i="1"/>
  <c r="N19" i="1" l="1"/>
  <c r="N18" i="1" s="1"/>
  <c r="M18" i="1"/>
  <c r="I42" i="1"/>
  <c r="H40" i="1"/>
  <c r="F33" i="1"/>
  <c r="J16" i="1"/>
  <c r="F30" i="1"/>
  <c r="G21" i="1"/>
  <c r="F25" i="1"/>
  <c r="F28" i="1" s="1"/>
  <c r="J42" i="1" l="1"/>
  <c r="I40" i="1"/>
  <c r="F44" i="1"/>
  <c r="F46" i="1" s="1"/>
  <c r="F53" i="1" s="1"/>
  <c r="G25" i="1"/>
  <c r="G28" i="1" s="1"/>
  <c r="K16" i="1"/>
  <c r="G30" i="1"/>
  <c r="G33" i="1"/>
  <c r="H21" i="1"/>
  <c r="K42" i="1" l="1"/>
  <c r="J40" i="1"/>
  <c r="H25" i="1"/>
  <c r="H28" i="1" s="1"/>
  <c r="G44" i="1"/>
  <c r="G46" i="1" s="1"/>
  <c r="G53" i="1" s="1"/>
  <c r="H30" i="1"/>
  <c r="L16" i="1"/>
  <c r="I21" i="1"/>
  <c r="H33" i="1"/>
  <c r="L42" i="1" l="1"/>
  <c r="K40" i="1"/>
  <c r="I25" i="1"/>
  <c r="I28" i="1" s="1"/>
  <c r="H44" i="1"/>
  <c r="H46" i="1" s="1"/>
  <c r="H53" i="1" s="1"/>
  <c r="M16" i="1"/>
  <c r="I30" i="1"/>
  <c r="I33" i="1"/>
  <c r="J21" i="1"/>
  <c r="M42" i="1" l="1"/>
  <c r="L40" i="1"/>
  <c r="J25" i="1"/>
  <c r="J28" i="1" s="1"/>
  <c r="I44" i="1"/>
  <c r="I46" i="1" s="1"/>
  <c r="I53" i="1" s="1"/>
  <c r="J33" i="1"/>
  <c r="N16" i="1"/>
  <c r="J30" i="1"/>
  <c r="K21" i="1"/>
  <c r="N42" i="1" l="1"/>
  <c r="N40" i="1" s="1"/>
  <c r="M40" i="1"/>
  <c r="J44" i="1"/>
  <c r="J46" i="1" s="1"/>
  <c r="J53" i="1" s="1"/>
  <c r="K25" i="1"/>
  <c r="K28" i="1" s="1"/>
  <c r="K33" i="1"/>
  <c r="K30" i="1"/>
  <c r="L21" i="1"/>
  <c r="K44" i="1" l="1"/>
  <c r="K46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M33" i="1"/>
  <c r="N30" i="1"/>
  <c r="M30" i="1"/>
  <c r="N33" i="1"/>
  <c r="M44" i="1" l="1"/>
  <c r="M46" i="1" s="1"/>
  <c r="M53" i="1" s="1"/>
  <c r="N44" i="1"/>
  <c r="F8" i="1" s="1"/>
  <c r="E48" i="1" l="1"/>
  <c r="E51" i="1" s="1"/>
  <c r="E53" i="1" s="1"/>
  <c r="L48" i="1"/>
  <c r="L51" i="1" s="1"/>
  <c r="L53" i="1" s="1"/>
  <c r="K48" i="1"/>
  <c r="K51" i="1" s="1"/>
  <c r="K53" i="1" s="1"/>
  <c r="N48" i="1"/>
  <c r="N51" i="1" s="1"/>
  <c r="N53" i="1" s="1"/>
</calcChain>
</file>

<file path=xl/sharedStrings.xml><?xml version="1.0" encoding="utf-8"?>
<sst xmlns="http://schemas.openxmlformats.org/spreadsheetml/2006/main" count="59" uniqueCount="59">
  <si>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</si>
  <si>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</si>
  <si>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</si>
  <si>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</si>
  <si>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</si>
  <si>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</si>
  <si>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</si>
  <si>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</si>
  <si>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</si>
  <si>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</si>
  <si>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</si>
  <si>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</si>
  <si>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</si>
  <si>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</si>
  <si>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</si>
  <si>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</si>
  <si>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</si>
  <si>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</si>
  <si>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</si>
  <si>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</si>
  <si>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</si>
  <si>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</si>
  <si>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</si>
  <si>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</si>
  <si>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</si>
  <si>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</si>
  <si>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</si>
  <si>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</si>
  <si>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</si>
  <si>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</si>
  <si>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</si>
  <si>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</si>
  <si>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</si>
  <si>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</si>
  <si>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</si>
  <si>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</si>
  <si>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</si>
  <si>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</si>
  <si>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</si>
  <si>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</si>
  <si>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</si>
  <si>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</si>
  <si>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</si>
  <si>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</si>
  <si>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</si>
  <si>
    <t>Expected Sales</t>
  </si>
  <si>
    <t>RentGrowth</t>
  </si>
  <si>
    <t>StartingRent</t>
  </si>
  <si>
    <t>Created by Vivian Nguyen  on 4/11/2025</t>
  </si>
  <si>
    <t>Scenario Summary</t>
  </si>
  <si>
    <t>Changing Cells:</t>
  </si>
  <si>
    <t>Current Values:</t>
  </si>
  <si>
    <t>Result Cells:</t>
  </si>
  <si>
    <t>Notes: Current Values column represents values of changing cells at</t>
  </si>
  <si>
    <t>time Scenario Summary Report was created.  Changing cells for each</t>
  </si>
  <si>
    <t>scenario are highlighted in grey.</t>
  </si>
  <si>
    <t>High Rent</t>
  </si>
  <si>
    <t>Created by Vivian Nguyen  on 5/11/2025</t>
  </si>
  <si>
    <t>$N$46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</si>
</sst>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44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9" fontId="6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 applyAlignment="1">
      <alignment horizontal="centerContinuous"/>
    </xf>
    <xf numFmtId="0" fontId="5" fillId="3" borderId="0" xfId="0" applyFont="1" applyFill="1"/>
    <xf numFmtId="0" fontId="4" fillId="3" borderId="0" xfId="0" applyFont="1" applyFill="1"/>
    <xf numFmtId="0" fontId="0" fillId="0" borderId="0" xfId="0" applyFill="1" applyBorder="1" applyAlignment="1"/>
    <xf numFmtId="10" fontId="0" fillId="0" borderId="0" xfId="0" applyNumberFormat="1" applyFill="1" applyBorder="1" applyAlignment="1"/>
    <xf numFmtId="165" fontId="0" fillId="0" borderId="0" xfId="0" applyNumberFormat="1" applyFill="1" applyBorder="1" applyAlignment="1"/>
    <xf numFmtId="0" fontId="9" fillId="4" borderId="1" xfId="0" applyFont="1" applyFill="1" applyBorder="1" applyAlignment="1">
      <alignment horizontal="left"/>
    </xf>
    <xf numFmtId="0" fontId="9" fillId="4" borderId="2" xfId="0" applyFont="1" applyFill="1" applyBorder="1" applyAlignment="1">
      <alignment horizontal="left"/>
    </xf>
    <xf numFmtId="0" fontId="0" fillId="0" borderId="4" xfId="0" applyFill="1" applyBorder="1" applyAlignment="1"/>
    <xf numFmtId="0" fontId="10" fillId="5" borderId="0" xfId="0" applyFont="1" applyFill="1" applyBorder="1" applyAlignment="1">
      <alignment horizontal="left"/>
    </xf>
    <xf numFmtId="0" fontId="11" fillId="5" borderId="4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left"/>
    </xf>
    <xf numFmtId="0" fontId="12" fillId="4" borderId="2" xfId="0" applyFont="1" applyFill="1" applyBorder="1" applyAlignment="1">
      <alignment horizontal="right"/>
    </xf>
    <xf numFmtId="0" fontId="12" fillId="4" borderId="1" xfId="0" applyFont="1" applyFill="1" applyBorder="1" applyAlignment="1">
      <alignment horizontal="right"/>
    </xf>
    <xf numFmtId="10" fontId="0" fillId="6" borderId="0" xfId="0" applyNumberFormat="1" applyFill="1" applyBorder="1" applyAlignment="1"/>
    <xf numFmtId="165" fontId="0" fillId="6" borderId="0" xfId="0" applyNumberFormat="1" applyFill="1" applyBorder="1" applyAlignment="1"/>
    <xf numFmtId="0" fontId="13" fillId="0" borderId="0" xfId="0" applyFont="1" applyFill="1" applyBorder="1" applyAlignment="1">
      <alignment vertical="top" wrapText="1"/>
    </xf>
    <xf numFmtId="165" fontId="0" fillId="0" borderId="3" xfId="0" applyNumberFormat="1" applyFill="1" applyBorder="1" applyAlignme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DCE7F5"/>
      <color rgb="FFE4D8FC"/>
      <color rgb="FFC7AEF8"/>
      <color rgb="FF5E17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13</xdr:col>
      <xdr:colOff>547159</xdr:colOff>
      <xdr:row>9</xdr:row>
      <xdr:rowOff>152332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01A324-0688-45EE-B6C6-CCFBAB59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0"/>
          <a:ext cx="3958490" cy="1798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9AAFA-9C6A-5442-97C4-FD439A1948EB}">
  <sheetPr>
    <outlinePr summaryBelow="0"/>
  </sheetPr>
  <dimension ref="B1:G12"/>
  <sheetViews>
    <sheetView showGridLines="0" workbookViewId="0">
      <selection activeCell="G9" sqref="G9"/>
    </sheetView>
  </sheetViews>
  <sheetFormatPr baseColWidth="10" defaultRowHeight="15" outlineLevelRow="1" outlineLevelCol="1" x14ac:dyDescent="0.2"/>
  <cols>
    <col min="4" max="6" width="11.33203125" bestFit="1" customWidth="1" outlineLevel="1"/>
  </cols>
  <sheetData>
    <row r="1" spans="2:7" ht="16" thickBot="1" x14ac:dyDescent="0.25"/>
    <row r="2" spans="2:7" ht="16" x14ac:dyDescent="0.2">
      <c r="B2" s="43" t="s">
        <v>49</v>
      </c>
      <c r="C2" s="43"/>
      <c r="D2" s="48"/>
      <c r="E2" s="48"/>
      <c r="F2" s="48"/>
    </row>
    <row r="3" spans="2:7" ht="16" collapsed="1" x14ac:dyDescent="0.2">
      <c r="B3" s="42"/>
      <c r="C3" s="42"/>
      <c r="D3" s="49" t="s">
        <v>51</v>
      </c>
      <c r="E3" s="49" t="s">
        <v>45</v>
      </c>
      <c r="F3" s="49" t="s">
        <v>56</v>
      </c>
    </row>
    <row r="4" spans="2:7" ht="36" hidden="1" outlineLevel="1" x14ac:dyDescent="0.2">
      <c r="B4" s="45"/>
      <c r="C4" s="45"/>
      <c r="D4" s="39"/>
      <c r="E4" s="52" t="s">
        <v>48</v>
      </c>
      <c r="F4" s="52" t="s">
        <v>57</v>
      </c>
    </row>
    <row r="5" spans="2:7" x14ac:dyDescent="0.2">
      <c r="B5" s="46" t="s">
        <v>50</v>
      </c>
      <c r="C5" s="46"/>
      <c r="D5" s="44"/>
      <c r="E5" s="44"/>
      <c r="F5" s="44"/>
    </row>
    <row r="6" spans="2:7" outlineLevel="1" x14ac:dyDescent="0.2">
      <c r="B6" s="45"/>
      <c r="C6" s="45" t="s">
        <v>46</v>
      </c>
      <c r="D6" s="40">
        <v>0.05</v>
      </c>
      <c r="E6" s="50">
        <v>0.05</v>
      </c>
      <c r="F6" s="50">
        <v>0.08</v>
      </c>
    </row>
    <row r="7" spans="2:7" outlineLevel="1" x14ac:dyDescent="0.2">
      <c r="B7" s="45"/>
      <c r="C7" s="45" t="s">
        <v>47</v>
      </c>
      <c r="D7" s="41">
        <v>2300</v>
      </c>
      <c r="E7" s="51">
        <v>2300</v>
      </c>
      <c r="F7" s="51">
        <v>2500</v>
      </c>
    </row>
    <row r="8" spans="2:7" x14ac:dyDescent="0.2">
      <c r="B8" s="46" t="s">
        <v>52</v>
      </c>
      <c r="C8" s="46"/>
      <c r="D8" s="44"/>
      <c r="E8" s="44"/>
      <c r="F8" s="44"/>
    </row>
    <row r="9" spans="2:7" ht="16" outlineLevel="1" thickBot="1" x14ac:dyDescent="0.25">
      <c r="B9" s="47"/>
      <c r="C9" s="47" t="s">
        <v>58</v>
      </c>
      <c r="D9" s="53">
        <v>2954983.1196065401</v>
      </c>
      <c r="E9" s="53">
        <v>2954983.1196065401</v>
      </c>
      <c r="F9" s="53">
        <v>4210514.7010233803</v>
      </c>
      <c r="G9" s="32">
        <f xml:space="preserve"> F9-E9</f>
        <v>1255531.5814168402</v>
      </c>
    </row>
    <row r="10" spans="2:7" x14ac:dyDescent="0.2">
      <c r="B10" t="s">
        <v>53</v>
      </c>
    </row>
    <row r="11" spans="2:7" x14ac:dyDescent="0.2">
      <c r="B11" t="s">
        <v>54</v>
      </c>
    </row>
    <row r="12" spans="2:7" x14ac:dyDescent="0.2">
      <c r="B1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abSelected="1" topLeftCell="A3" zoomScale="86" zoomScaleNormal="100" workbookViewId="0">
      <selection activeCell="N47" sqref="N47"/>
    </sheetView>
  </sheetViews>
  <sheetFormatPr baseColWidth="10" defaultColWidth="8.83203125" defaultRowHeight="15" x14ac:dyDescent="0.2"/>
  <cols>
    <col min="1" max="1" width="29.5" customWidth="1"/>
    <col min="2" max="2" width="16.83203125" style="12" bestFit="1" customWidth="1"/>
    <col min="3" max="3" width="14.6640625" customWidth="1"/>
    <col min="4" max="4" width="13.5" bestFit="1" customWidth="1"/>
    <col min="5" max="5" width="11.33203125" bestFit="1" customWidth="1"/>
    <col min="6" max="6" width="14.83203125" bestFit="1" customWidth="1"/>
    <col min="7" max="7" width="10.83203125" bestFit="1" customWidth="1"/>
    <col min="8" max="8" width="12.1640625" customWidth="1"/>
    <col min="9" max="10" width="10.83203125" bestFit="1" customWidth="1"/>
    <col min="11" max="12" width="11.6640625" bestFit="1" customWidth="1"/>
    <col min="13" max="13" width="11.83203125" bestFit="1" customWidth="1"/>
    <col min="14" max="14" width="11.6640625" bestFit="1" customWidth="1"/>
  </cols>
  <sheetData>
    <row r="1" spans="1:14" x14ac:dyDescent="0.2">
      <c r="A1" s="36" t="s">
        <v>18</v>
      </c>
      <c r="B1" s="36"/>
      <c r="D1" s="36" t="s">
        <v>25</v>
      </c>
      <c r="E1" s="36"/>
      <c r="F1" s="36"/>
    </row>
    <row r="2" spans="1:14" x14ac:dyDescent="0.2">
      <c r="A2" t="s">
        <v>12</v>
      </c>
      <c r="B2" s="10" t="s">
        <v>13</v>
      </c>
      <c r="D2" t="s">
        <v>26</v>
      </c>
      <c r="F2" s="32">
        <f>B46/AcquisitionCapRate</f>
        <v>7288683.333333334</v>
      </c>
    </row>
    <row r="3" spans="1:14" x14ac:dyDescent="0.2">
      <c r="A3" s="4" t="s">
        <v>0</v>
      </c>
      <c r="B3" s="11">
        <v>80</v>
      </c>
      <c r="D3" s="4" t="s">
        <v>27</v>
      </c>
      <c r="E3" s="4"/>
      <c r="F3" s="28">
        <v>0.06</v>
      </c>
      <c r="K3" s="26"/>
    </row>
    <row r="4" spans="1:14" x14ac:dyDescent="0.2">
      <c r="A4" t="s">
        <v>1</v>
      </c>
      <c r="B4" s="10">
        <v>1994</v>
      </c>
    </row>
    <row r="5" spans="1:14" x14ac:dyDescent="0.2">
      <c r="A5" s="4" t="s">
        <v>22</v>
      </c>
      <c r="B5" s="11" t="s">
        <v>23</v>
      </c>
      <c r="D5" s="36" t="s">
        <v>28</v>
      </c>
      <c r="E5" s="36"/>
      <c r="F5" s="36"/>
      <c r="J5" s="7"/>
    </row>
    <row r="6" spans="1:14" x14ac:dyDescent="0.2">
      <c r="A6" t="s">
        <v>41</v>
      </c>
      <c r="B6" s="10" t="s">
        <v>42</v>
      </c>
      <c r="D6" t="s">
        <v>40</v>
      </c>
      <c r="F6" s="34">
        <v>10</v>
      </c>
      <c r="J6" s="27"/>
    </row>
    <row r="7" spans="1:14" x14ac:dyDescent="0.2">
      <c r="D7" s="4" t="s">
        <v>39</v>
      </c>
      <c r="E7" s="4"/>
      <c r="F7" s="28">
        <v>5.0000000000000808E-2</v>
      </c>
      <c r="J7" s="31"/>
    </row>
    <row r="8" spans="1:14" x14ac:dyDescent="0.2">
      <c r="A8" s="36" t="s">
        <v>36</v>
      </c>
      <c r="B8" s="36"/>
      <c r="D8" t="s">
        <v>29</v>
      </c>
      <c r="F8" s="35">
        <f>HLOOKUP(HoldingPeriod,D16:N46,31,0)/ExitCapRate</f>
        <v>99999999.999998391</v>
      </c>
    </row>
    <row r="9" spans="1:14" x14ac:dyDescent="0.2">
      <c r="A9" s="25" t="s">
        <v>38</v>
      </c>
      <c r="B9" s="8">
        <v>0.02</v>
      </c>
    </row>
    <row r="10" spans="1:14" x14ac:dyDescent="0.2">
      <c r="A10" s="4" t="s">
        <v>37</v>
      </c>
      <c r="B10" s="28">
        <v>0.11260000000000001</v>
      </c>
    </row>
    <row r="14" spans="1:14" x14ac:dyDescent="0.2">
      <c r="A14" s="37" t="s">
        <v>32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 x14ac:dyDescent="0.2">
      <c r="D15" s="1"/>
      <c r="E15" s="1"/>
      <c r="F15" s="1"/>
    </row>
    <row r="16" spans="1:14" x14ac:dyDescent="0.2">
      <c r="B16" s="13" t="s">
        <v>35</v>
      </c>
      <c r="C16" s="1"/>
      <c r="D16" s="33">
        <v>0</v>
      </c>
      <c r="E16" s="33">
        <f>D16+1</f>
        <v>1</v>
      </c>
      <c r="F16" s="33">
        <f t="shared" ref="F16:N16" si="0">E16+1</f>
        <v>2</v>
      </c>
      <c r="G16" s="33">
        <f t="shared" si="0"/>
        <v>3</v>
      </c>
      <c r="H16" s="33">
        <f t="shared" si="0"/>
        <v>4</v>
      </c>
      <c r="I16" s="33">
        <f t="shared" si="0"/>
        <v>5</v>
      </c>
      <c r="J16" s="33">
        <f t="shared" si="0"/>
        <v>6</v>
      </c>
      <c r="K16" s="33">
        <f t="shared" si="0"/>
        <v>7</v>
      </c>
      <c r="L16" s="33">
        <f t="shared" si="0"/>
        <v>8</v>
      </c>
      <c r="M16" s="33">
        <f>L16+1</f>
        <v>9</v>
      </c>
      <c r="N16" s="33">
        <f t="shared" si="0"/>
        <v>10</v>
      </c>
    </row>
    <row r="17" spans="1:15" x14ac:dyDescent="0.2">
      <c r="B17" s="14"/>
      <c r="G17" s="1"/>
      <c r="H17" s="1"/>
      <c r="I17" s="1"/>
      <c r="J17" s="1"/>
    </row>
    <row r="18" spans="1:15" x14ac:dyDescent="0.2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1">IF(HoldingPeriod&lt;F16,0,F19*Units*12)</f>
        <v>3508890.9028791413</v>
      </c>
      <c r="G18" s="15">
        <f t="shared" si="1"/>
        <v>3903992.0185433328</v>
      </c>
      <c r="H18" s="15">
        <f t="shared" si="1"/>
        <v>4343581.5198313119</v>
      </c>
      <c r="I18" s="15">
        <f t="shared" si="1"/>
        <v>4832668.7989643179</v>
      </c>
      <c r="J18" s="15">
        <f t="shared" si="1"/>
        <v>5376827.3057276998</v>
      </c>
      <c r="K18" s="15">
        <f t="shared" si="1"/>
        <v>5982258.0603526393</v>
      </c>
      <c r="L18" s="15">
        <f t="shared" si="1"/>
        <v>6655860.317948347</v>
      </c>
      <c r="M18" s="15">
        <f t="shared" si="1"/>
        <v>7405310.1897493303</v>
      </c>
      <c r="N18" s="15">
        <f t="shared" si="1"/>
        <v>8239148.1171151064</v>
      </c>
    </row>
    <row r="19" spans="1:15" x14ac:dyDescent="0.2">
      <c r="A19" s="24" t="s">
        <v>2</v>
      </c>
      <c r="B19" s="6"/>
      <c r="D19" s="6"/>
      <c r="E19" s="6"/>
      <c r="F19" s="6">
        <v>3655.0946904991056</v>
      </c>
      <c r="G19" s="16">
        <f t="shared" ref="G19:N19" si="2">F19*(1+RentGrowth)</f>
        <v>4066.658352649305</v>
      </c>
      <c r="H19" s="16">
        <f t="shared" si="2"/>
        <v>4524.5640831576166</v>
      </c>
      <c r="I19" s="16">
        <f t="shared" si="2"/>
        <v>5034.0299989211644</v>
      </c>
      <c r="J19" s="16">
        <f t="shared" si="2"/>
        <v>5600.8617767996875</v>
      </c>
      <c r="K19" s="16">
        <f t="shared" si="2"/>
        <v>6231.5188128673326</v>
      </c>
      <c r="L19" s="16">
        <f t="shared" si="2"/>
        <v>6933.1878311961946</v>
      </c>
      <c r="M19" s="16">
        <f t="shared" si="2"/>
        <v>7713.8647809888862</v>
      </c>
      <c r="N19" s="16">
        <f t="shared" si="2"/>
        <v>8582.4459553282359</v>
      </c>
    </row>
    <row r="20" spans="1:15" x14ac:dyDescent="0.2">
      <c r="B20" s="15"/>
      <c r="D20" s="15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spans="1:15" x14ac:dyDescent="0.2">
      <c r="A21" t="s">
        <v>31</v>
      </c>
      <c r="B21" s="16">
        <v>-410784.00000000006</v>
      </c>
      <c r="D21" s="16">
        <f t="shared" ref="D21:N21" si="3">-D18*(1-D23)</f>
        <v>0</v>
      </c>
      <c r="E21" s="16">
        <f t="shared" si="3"/>
        <v>0</v>
      </c>
      <c r="F21" s="16">
        <f t="shared" si="3"/>
        <v>-877222.72571978532</v>
      </c>
      <c r="G21" s="16">
        <f t="shared" si="3"/>
        <v>-195199.60092716682</v>
      </c>
      <c r="H21" s="16">
        <f t="shared" si="3"/>
        <v>-217179.0759915658</v>
      </c>
      <c r="I21" s="16">
        <f t="shared" si="3"/>
        <v>-241633.43994821611</v>
      </c>
      <c r="J21" s="16">
        <f t="shared" si="3"/>
        <v>-268841.36528638523</v>
      </c>
      <c r="K21" s="16">
        <f t="shared" si="3"/>
        <v>-299112.90301763226</v>
      </c>
      <c r="L21" s="16">
        <f t="shared" si="3"/>
        <v>-332793.01589741762</v>
      </c>
      <c r="M21" s="16">
        <f t="shared" si="3"/>
        <v>-370265.50948746683</v>
      </c>
      <c r="N21" s="16">
        <f t="shared" si="3"/>
        <v>-411957.40585575567</v>
      </c>
    </row>
    <row r="22" spans="1:15" x14ac:dyDescent="0.2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2">
      <c r="A23" s="24" t="s">
        <v>16</v>
      </c>
      <c r="B23" s="23"/>
      <c r="D23" s="30"/>
      <c r="E23" s="30">
        <f t="shared" ref="E23:N23" si="4">E22/Units</f>
        <v>0</v>
      </c>
      <c r="F23" s="30">
        <f t="shared" si="4"/>
        <v>0.75</v>
      </c>
      <c r="G23" s="30">
        <f t="shared" si="4"/>
        <v>0.95</v>
      </c>
      <c r="H23" s="30">
        <f t="shared" si="4"/>
        <v>0.95</v>
      </c>
      <c r="I23" s="30">
        <f t="shared" si="4"/>
        <v>0.95</v>
      </c>
      <c r="J23" s="30">
        <f t="shared" si="4"/>
        <v>0.95</v>
      </c>
      <c r="K23" s="30">
        <f t="shared" si="4"/>
        <v>0.95</v>
      </c>
      <c r="L23" s="30">
        <f t="shared" si="4"/>
        <v>0.95</v>
      </c>
      <c r="M23" s="30">
        <f t="shared" si="4"/>
        <v>0.95</v>
      </c>
      <c r="N23" s="30">
        <f t="shared" si="4"/>
        <v>0.95</v>
      </c>
    </row>
    <row r="24" spans="1:15" x14ac:dyDescent="0.2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2">
      <c r="A25" t="s">
        <v>33</v>
      </c>
      <c r="B25" s="17">
        <v>-179251</v>
      </c>
      <c r="D25" s="17">
        <v>0</v>
      </c>
      <c r="E25" s="17">
        <f t="shared" ref="E25:N25" si="5">SUM(E21,E18)*E26</f>
        <v>0</v>
      </c>
      <c r="F25" s="17">
        <f t="shared" si="5"/>
        <v>157900.09062956134</v>
      </c>
      <c r="G25" s="17">
        <f t="shared" si="5"/>
        <v>148351.69670464666</v>
      </c>
      <c r="H25" s="17">
        <f t="shared" si="5"/>
        <v>165056.09775358986</v>
      </c>
      <c r="I25" s="17">
        <f t="shared" si="5"/>
        <v>183641.41436064406</v>
      </c>
      <c r="J25" s="17">
        <f t="shared" si="5"/>
        <v>204319.43761765258</v>
      </c>
      <c r="K25" s="17">
        <f t="shared" si="5"/>
        <v>227325.80629340027</v>
      </c>
      <c r="L25" s="17">
        <f t="shared" si="5"/>
        <v>252922.69208203719</v>
      </c>
      <c r="M25" s="17">
        <f t="shared" si="5"/>
        <v>281401.78721047455</v>
      </c>
      <c r="N25" s="17">
        <f t="shared" si="5"/>
        <v>313087.62845037406</v>
      </c>
    </row>
    <row r="26" spans="1:15" x14ac:dyDescent="0.2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2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2">
      <c r="A28" s="3" t="s">
        <v>3</v>
      </c>
      <c r="B28" s="18">
        <f>SUM(B18,B21,B25)</f>
        <v>903725</v>
      </c>
      <c r="D28" s="18">
        <f t="shared" ref="D28:N28" si="6">SUM(D18,D21,D25)</f>
        <v>0</v>
      </c>
      <c r="E28" s="18">
        <f t="shared" si="6"/>
        <v>0</v>
      </c>
      <c r="F28" s="18">
        <f t="shared" si="6"/>
        <v>2789568.2677889173</v>
      </c>
      <c r="G28" s="18">
        <f t="shared" si="6"/>
        <v>3857144.1143208127</v>
      </c>
      <c r="H28" s="18">
        <f t="shared" si="6"/>
        <v>4291458.5415933356</v>
      </c>
      <c r="I28" s="18">
        <f t="shared" si="6"/>
        <v>4774676.7733767461</v>
      </c>
      <c r="J28" s="18">
        <f t="shared" si="6"/>
        <v>5312305.3780589662</v>
      </c>
      <c r="K28" s="18">
        <f t="shared" si="6"/>
        <v>5910470.9636284066</v>
      </c>
      <c r="L28" s="18">
        <f t="shared" si="6"/>
        <v>6575989.9941329667</v>
      </c>
      <c r="M28" s="18">
        <f t="shared" si="6"/>
        <v>7316446.4674723381</v>
      </c>
      <c r="N28" s="18">
        <f t="shared" si="6"/>
        <v>8140278.3397097252</v>
      </c>
    </row>
    <row r="29" spans="1:15" x14ac:dyDescent="0.2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2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7">SUM(F18+F21)*F31</f>
        <v>131583.40885796779</v>
      </c>
      <c r="G30" s="19">
        <f t="shared" si="7"/>
        <v>185439.62088080833</v>
      </c>
      <c r="H30" s="19">
        <f t="shared" si="7"/>
        <v>206320.12219198732</v>
      </c>
      <c r="I30" s="19">
        <f t="shared" si="7"/>
        <v>229551.76795080511</v>
      </c>
      <c r="J30" s="19">
        <f t="shared" si="7"/>
        <v>255399.29702206573</v>
      </c>
      <c r="K30" s="19">
        <f t="shared" si="7"/>
        <v>284157.25786675035</v>
      </c>
      <c r="L30" s="19">
        <f t="shared" si="7"/>
        <v>316153.36510254652</v>
      </c>
      <c r="M30" s="19">
        <f t="shared" si="7"/>
        <v>351752.23401309317</v>
      </c>
      <c r="N30" s="19">
        <f t="shared" si="7"/>
        <v>391359.53556296759</v>
      </c>
    </row>
    <row r="31" spans="1:15" x14ac:dyDescent="0.2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2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">
      <c r="A33" t="s">
        <v>44</v>
      </c>
      <c r="B33" s="19">
        <v>-27111</v>
      </c>
      <c r="D33" s="19">
        <v>0</v>
      </c>
      <c r="E33" s="19">
        <f t="shared" ref="E33:N33" si="8">SUM(E$18+E$21)*E34</f>
        <v>0</v>
      </c>
      <c r="F33" s="19">
        <f t="shared" si="8"/>
        <v>78950.045314780669</v>
      </c>
      <c r="G33" s="19">
        <f t="shared" si="8"/>
        <v>111263.77252848499</v>
      </c>
      <c r="H33" s="19">
        <f t="shared" si="8"/>
        <v>123792.07331519238</v>
      </c>
      <c r="I33" s="19">
        <f t="shared" si="8"/>
        <v>137731.06077048305</v>
      </c>
      <c r="J33" s="19">
        <f t="shared" si="8"/>
        <v>153239.57821323941</v>
      </c>
      <c r="K33" s="19">
        <f t="shared" si="8"/>
        <v>170494.35472005021</v>
      </c>
      <c r="L33" s="19">
        <f t="shared" si="8"/>
        <v>189692.01906152788</v>
      </c>
      <c r="M33" s="19">
        <f t="shared" si="8"/>
        <v>211051.3404078559</v>
      </c>
      <c r="N33" s="19">
        <f t="shared" si="8"/>
        <v>234815.72133778053</v>
      </c>
    </row>
    <row r="34" spans="1:14" x14ac:dyDescent="0.2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2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">
      <c r="A36" t="s">
        <v>6</v>
      </c>
      <c r="B36" s="19">
        <v>-7304</v>
      </c>
      <c r="D36" s="19">
        <v>0</v>
      </c>
      <c r="E36" s="19">
        <f t="shared" ref="E36:N36" si="9">IF(HoldingPeriod&lt;E16,0,(Units-E22)*E37)</f>
        <v>24000</v>
      </c>
      <c r="F36" s="19">
        <f t="shared" si="9"/>
        <v>6120</v>
      </c>
      <c r="G36" s="19">
        <f t="shared" si="9"/>
        <v>1248.48</v>
      </c>
      <c r="H36" s="19">
        <f t="shared" si="9"/>
        <v>1273.4496000000001</v>
      </c>
      <c r="I36" s="19">
        <f t="shared" si="9"/>
        <v>1298.9185920000002</v>
      </c>
      <c r="J36" s="19">
        <f t="shared" si="9"/>
        <v>1324.8969638400004</v>
      </c>
      <c r="K36" s="19">
        <f t="shared" si="9"/>
        <v>1351.3949031168004</v>
      </c>
      <c r="L36" s="19">
        <f t="shared" si="9"/>
        <v>1378.4228011791365</v>
      </c>
      <c r="M36" s="19">
        <f t="shared" si="9"/>
        <v>1405.9912572027192</v>
      </c>
      <c r="N36" s="19">
        <f t="shared" si="9"/>
        <v>1434.1110823467736</v>
      </c>
    </row>
    <row r="37" spans="1:14" x14ac:dyDescent="0.2">
      <c r="A37" s="24" t="s">
        <v>20</v>
      </c>
      <c r="B37" s="5"/>
      <c r="D37" s="5"/>
      <c r="E37" s="5">
        <v>300</v>
      </c>
      <c r="F37" s="5">
        <f t="shared" ref="F37:N37" si="10">E37*(1+CostGrowth)</f>
        <v>306</v>
      </c>
      <c r="G37" s="5">
        <f t="shared" si="10"/>
        <v>312.12</v>
      </c>
      <c r="H37" s="5">
        <f t="shared" si="10"/>
        <v>318.36240000000004</v>
      </c>
      <c r="I37" s="5">
        <f t="shared" si="10"/>
        <v>324.72964800000005</v>
      </c>
      <c r="J37" s="5">
        <f t="shared" si="10"/>
        <v>331.22424096000009</v>
      </c>
      <c r="K37" s="5">
        <f t="shared" si="10"/>
        <v>337.84872577920009</v>
      </c>
      <c r="L37" s="5">
        <f t="shared" si="10"/>
        <v>344.60570029478413</v>
      </c>
      <c r="M37" s="5">
        <f t="shared" si="10"/>
        <v>351.49781430067981</v>
      </c>
      <c r="N37" s="5">
        <f t="shared" si="10"/>
        <v>358.52777058669341</v>
      </c>
    </row>
    <row r="38" spans="1:14" x14ac:dyDescent="0.2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">
      <c r="A39" t="s">
        <v>34</v>
      </c>
      <c r="B39" s="19">
        <v>-212582</v>
      </c>
      <c r="D39" s="19">
        <v>0</v>
      </c>
      <c r="E39" s="19">
        <f t="shared" ref="E39:N39" si="11">IF(HoldingPeriod&lt;E16,0,$B$39*(1+CostGrowth^E16))</f>
        <v>-216833.64</v>
      </c>
      <c r="F39" s="19">
        <f t="shared" si="11"/>
        <v>-212667.03279999999</v>
      </c>
      <c r="G39" s="19">
        <f t="shared" si="11"/>
        <v>-212583.700656</v>
      </c>
      <c r="H39" s="19">
        <f t="shared" si="11"/>
        <v>-212582.03401311999</v>
      </c>
      <c r="I39" s="19">
        <f t="shared" si="11"/>
        <v>-212582.0006802624</v>
      </c>
      <c r="J39" s="19">
        <f t="shared" si="11"/>
        <v>-212582.00001360523</v>
      </c>
      <c r="K39" s="19">
        <f t="shared" si="11"/>
        <v>-212582.00000027212</v>
      </c>
      <c r="L39" s="19">
        <f t="shared" si="11"/>
        <v>-212582.00000000544</v>
      </c>
      <c r="M39" s="19">
        <f t="shared" si="11"/>
        <v>-212582.00000000009</v>
      </c>
      <c r="N39" s="19">
        <f t="shared" si="11"/>
        <v>-212582</v>
      </c>
    </row>
    <row r="40" spans="1:14" x14ac:dyDescent="0.2">
      <c r="A40" t="s">
        <v>7</v>
      </c>
      <c r="B40" s="19">
        <v>-160665</v>
      </c>
      <c r="D40" s="19">
        <v>0</v>
      </c>
      <c r="E40" s="19">
        <f t="shared" ref="E40:N40" si="12">IF(HoldingPeriod&lt;E16,0,-E41*E42)</f>
        <v>-255103.91666666672</v>
      </c>
      <c r="F40" s="19">
        <f t="shared" si="12"/>
        <v>-260205.99500000005</v>
      </c>
      <c r="G40" s="19">
        <f t="shared" si="12"/>
        <v>-265410.1149000001</v>
      </c>
      <c r="H40" s="19">
        <f t="shared" si="12"/>
        <v>-270718.31719800009</v>
      </c>
      <c r="I40" s="19">
        <f t="shared" si="12"/>
        <v>-276132.68354196008</v>
      </c>
      <c r="J40" s="19">
        <f t="shared" si="12"/>
        <v>-281655.33721279929</v>
      </c>
      <c r="K40" s="19">
        <f t="shared" si="12"/>
        <v>-287288.44395705522</v>
      </c>
      <c r="L40" s="19">
        <f t="shared" si="12"/>
        <v>-293034.21283619636</v>
      </c>
      <c r="M40" s="19">
        <f t="shared" si="12"/>
        <v>-298894.89709292026</v>
      </c>
      <c r="N40" s="19">
        <f t="shared" si="12"/>
        <v>-304872.79503477871</v>
      </c>
    </row>
    <row r="41" spans="1:14" x14ac:dyDescent="0.2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2">
      <c r="A42" s="24" t="s">
        <v>15</v>
      </c>
      <c r="B42" s="5"/>
      <c r="D42" s="5"/>
      <c r="E42" s="5">
        <f>-D48</f>
        <v>7288683.333333334</v>
      </c>
      <c r="F42" s="5">
        <f t="shared" ref="F42:N42" si="13">E42*(1+CostGrowth)</f>
        <v>7434457.0000000009</v>
      </c>
      <c r="G42" s="5">
        <f t="shared" si="13"/>
        <v>7583146.1400000015</v>
      </c>
      <c r="H42" s="5">
        <f t="shared" si="13"/>
        <v>7734809.0628000014</v>
      </c>
      <c r="I42" s="5">
        <f t="shared" si="13"/>
        <v>7889505.2440560013</v>
      </c>
      <c r="J42" s="5">
        <f t="shared" si="13"/>
        <v>8047295.3489371212</v>
      </c>
      <c r="K42" s="5">
        <f t="shared" si="13"/>
        <v>8208241.2559158634</v>
      </c>
      <c r="L42" s="5">
        <f t="shared" si="13"/>
        <v>8372406.0810341807</v>
      </c>
      <c r="M42" s="5">
        <f t="shared" si="13"/>
        <v>8539854.2026548646</v>
      </c>
      <c r="N42" s="5">
        <f t="shared" si="13"/>
        <v>8710651.2867079619</v>
      </c>
    </row>
    <row r="43" spans="1:14" x14ac:dyDescent="0.2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">
      <c r="A44" s="3" t="s">
        <v>8</v>
      </c>
      <c r="B44" s="22">
        <f>SUM(B30,B33,B36,B39,B40)</f>
        <v>-466404</v>
      </c>
      <c r="D44" s="22">
        <f t="shared" ref="D44:N44" si="14">SUM(D30,D33,D36,D39,D40)</f>
        <v>0</v>
      </c>
      <c r="E44" s="22">
        <f t="shared" si="14"/>
        <v>-447937.55666666676</v>
      </c>
      <c r="F44" s="22">
        <f t="shared" si="14"/>
        <v>-256219.57362725158</v>
      </c>
      <c r="G44" s="22">
        <f t="shared" si="14"/>
        <v>-180041.9421467068</v>
      </c>
      <c r="H44" s="22">
        <f t="shared" si="14"/>
        <v>-151914.70610394038</v>
      </c>
      <c r="I44" s="22">
        <f t="shared" si="14"/>
        <v>-120132.93690893438</v>
      </c>
      <c r="J44" s="22">
        <f t="shared" si="14"/>
        <v>-84273.565027259348</v>
      </c>
      <c r="K44" s="22">
        <f t="shared" si="14"/>
        <v>-43867.436467409949</v>
      </c>
      <c r="L44" s="22">
        <f t="shared" si="14"/>
        <v>1607.5941290517221</v>
      </c>
      <c r="M44" s="22">
        <f t="shared" si="14"/>
        <v>52732.668585231411</v>
      </c>
      <c r="N44" s="22">
        <f t="shared" si="14"/>
        <v>110154.57294831617</v>
      </c>
    </row>
    <row r="45" spans="1:14" x14ac:dyDescent="0.2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">
      <c r="A46" s="3" t="s">
        <v>9</v>
      </c>
      <c r="B46" s="18">
        <f>SUM(B28,B44)</f>
        <v>437321</v>
      </c>
      <c r="D46" s="18">
        <f t="shared" ref="D46:N46" si="15">SUM(D28,D44)</f>
        <v>0</v>
      </c>
      <c r="E46" s="18">
        <f t="shared" si="15"/>
        <v>-447937.55666666676</v>
      </c>
      <c r="F46" s="18">
        <f t="shared" si="15"/>
        <v>2533348.6941616656</v>
      </c>
      <c r="G46" s="18">
        <f t="shared" si="15"/>
        <v>3677102.1721741059</v>
      </c>
      <c r="H46" s="18">
        <f t="shared" si="15"/>
        <v>4139543.8354893951</v>
      </c>
      <c r="I46" s="18">
        <f t="shared" si="15"/>
        <v>4654543.8364678118</v>
      </c>
      <c r="J46" s="18">
        <f t="shared" si="15"/>
        <v>5228031.813031707</v>
      </c>
      <c r="K46" s="18">
        <f t="shared" si="15"/>
        <v>5866603.5271609966</v>
      </c>
      <c r="L46" s="18">
        <f t="shared" si="15"/>
        <v>6577597.5882620187</v>
      </c>
      <c r="M46" s="18">
        <f t="shared" si="15"/>
        <v>7369179.1360575696</v>
      </c>
      <c r="N46" s="18">
        <v>5000000</v>
      </c>
    </row>
    <row r="47" spans="1:14" x14ac:dyDescent="0.2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">
      <c r="A48" t="s">
        <v>43</v>
      </c>
      <c r="B48" s="19">
        <v>-1000</v>
      </c>
      <c r="D48" s="19">
        <f>-PurchasePrice</f>
        <v>-7288683.333333334</v>
      </c>
      <c r="E48" s="19">
        <f t="shared" ref="E48:N48" si="16">IF(HoldingPeriod=E16,SellPrice,0)</f>
        <v>0</v>
      </c>
      <c r="F48" s="19">
        <f t="shared" si="16"/>
        <v>0</v>
      </c>
      <c r="G48" s="19">
        <f t="shared" si="16"/>
        <v>0</v>
      </c>
      <c r="H48" s="19">
        <f t="shared" si="16"/>
        <v>0</v>
      </c>
      <c r="I48" s="19">
        <f t="shared" si="16"/>
        <v>0</v>
      </c>
      <c r="J48" s="19">
        <f t="shared" si="16"/>
        <v>0</v>
      </c>
      <c r="K48" s="19">
        <f t="shared" si="16"/>
        <v>0</v>
      </c>
      <c r="L48" s="19">
        <f t="shared" si="16"/>
        <v>0</v>
      </c>
      <c r="M48" s="19">
        <f t="shared" si="16"/>
        <v>0</v>
      </c>
      <c r="N48" s="19">
        <f t="shared" si="16"/>
        <v>99999999.999998391</v>
      </c>
    </row>
    <row r="49" spans="1:14" x14ac:dyDescent="0.2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x14ac:dyDescent="0.2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2">
      <c r="A51" s="3" t="s">
        <v>11</v>
      </c>
      <c r="B51" s="18">
        <f>SUM(B48:B49)</f>
        <v>-21182</v>
      </c>
      <c r="D51" s="18">
        <f t="shared" ref="D51:N51" si="17">SUM(D48:D49)</f>
        <v>-7288683.333333334</v>
      </c>
      <c r="E51" s="18">
        <f t="shared" si="17"/>
        <v>-2000000</v>
      </c>
      <c r="F51" s="18">
        <f t="shared" si="17"/>
        <v>0</v>
      </c>
      <c r="G51" s="18">
        <f t="shared" si="17"/>
        <v>0</v>
      </c>
      <c r="H51" s="18">
        <f t="shared" si="17"/>
        <v>0</v>
      </c>
      <c r="I51" s="18">
        <f t="shared" si="17"/>
        <v>0</v>
      </c>
      <c r="J51" s="18">
        <f t="shared" si="17"/>
        <v>0</v>
      </c>
      <c r="K51" s="18">
        <f t="shared" si="17"/>
        <v>0</v>
      </c>
      <c r="L51" s="18">
        <f t="shared" si="17"/>
        <v>0</v>
      </c>
      <c r="M51" s="18">
        <f t="shared" si="17"/>
        <v>0</v>
      </c>
      <c r="N51" s="18">
        <f t="shared" si="17"/>
        <v>99999999.999998391</v>
      </c>
    </row>
    <row r="52" spans="1:14" x14ac:dyDescent="0.2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2">
      <c r="A53" s="3" t="s">
        <v>21</v>
      </c>
      <c r="B53" s="18">
        <f>SUM(B46,B51)</f>
        <v>416139</v>
      </c>
      <c r="C53" s="32"/>
      <c r="D53" s="18">
        <f t="shared" ref="D53:N53" si="18">SUM(D46,D51)</f>
        <v>-7288683.333333334</v>
      </c>
      <c r="E53" s="18">
        <f t="shared" si="18"/>
        <v>-2447937.5566666666</v>
      </c>
      <c r="F53" s="18">
        <f t="shared" si="18"/>
        <v>2533348.6941616656</v>
      </c>
      <c r="G53" s="18">
        <f t="shared" si="18"/>
        <v>3677102.1721741059</v>
      </c>
      <c r="H53" s="18">
        <f t="shared" si="18"/>
        <v>4139543.8354893951</v>
      </c>
      <c r="I53" s="18">
        <f t="shared" si="18"/>
        <v>4654543.8364678118</v>
      </c>
      <c r="J53" s="18">
        <f t="shared" si="18"/>
        <v>5228031.813031707</v>
      </c>
      <c r="K53" s="18">
        <f t="shared" si="18"/>
        <v>5866603.5271609966</v>
      </c>
      <c r="L53" s="18">
        <f t="shared" si="18"/>
        <v>6577597.5882620187</v>
      </c>
      <c r="M53" s="18">
        <f t="shared" si="18"/>
        <v>7369179.1360575696</v>
      </c>
      <c r="N53" s="18">
        <f t="shared" si="18"/>
        <v>104999999.99999839</v>
      </c>
    </row>
    <row r="57" spans="1:14" x14ac:dyDescent="0.2">
      <c r="B57" s="9"/>
      <c r="C57" s="32"/>
      <c r="N57" s="9"/>
    </row>
    <row r="64" spans="1:14" x14ac:dyDescent="0.2">
      <c r="A64" s="12"/>
      <c r="B64"/>
    </row>
    <row r="65" spans="1:2" x14ac:dyDescent="0.2">
      <c r="A65" s="12"/>
      <c r="B65"/>
    </row>
    <row r="66" spans="1:2" x14ac:dyDescent="0.2">
      <c r="A66" s="12"/>
      <c r="B66"/>
    </row>
    <row r="67" spans="1:2" x14ac:dyDescent="0.2">
      <c r="A67" s="12"/>
      <c r="B67"/>
    </row>
    <row r="68" spans="1:2" x14ac:dyDescent="0.2">
      <c r="A68" s="12"/>
      <c r="B68"/>
    </row>
  </sheetData>
  <scenarios current="0" show="0" sqref="N46">
    <scenario name="Expected Sales" locked="1" count="2" user="Vivian Nguyen " comment="Created by Vivian Nguyen  on 4/11/2025">
      <inputCells r="B10" val="0.05" numFmtId="10"/>
      <inputCells r="F19" val="2300" numFmtId="165"/>
    </scenario>
    <scenario name="High Rent" locked="1" count="2" user="Vivian Nguyen " comment="Created by Vivian Nguyen  on 5/11/2025">
      <inputCells r="B10" val="0.08" numFmtId="10"/>
      <inputCells r="F19" val="2500" numFmtId="165"/>
    </scenario>
  </scenarios>
  <dataValidations count="1">
    <dataValidation type="whole" allowBlank="1" showInputMessage="1" showErrorMessage="1" sqref="F6" xr:uid="{4ED3CCB3-79ED-46A4-8821-0D4229049CCE}">
      <formula1>1</formula1>
      <formula2>10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HeadingPairs>
  <TitlesOfParts>
    <vt:vector size="11" baseType="lpstr">
      <vt:lpstr>Scenario Summary 3</vt:lpstr>
      <vt:lpstr>Analysis</vt:lpstr>
      <vt:lpstr>AcquisitionCapRate</vt:lpstr>
      <vt:lpstr>CostGrowth</vt:lpstr>
      <vt:lpstr>ExitCapRate</vt:lpstr>
      <vt:lpstr>HoldingPeriod</vt:lpstr>
      <vt:lpstr>PurchasePrice</vt:lpstr>
      <vt:lpstr>RentGrowth</vt:lpstr>
      <vt:lpstr>SellPrice</vt:lpstr>
      <vt:lpstr>StartingRent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Vivian Nguyen</cp:lastModifiedBy>
  <dcterms:created xsi:type="dcterms:W3CDTF">2023-09-18T02:06:14Z</dcterms:created>
  <dcterms:modified xsi:type="dcterms:W3CDTF">2025-11-04T13:22:06Z</dcterms:modified>
</cp:coreProperties>
</file>