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Datacamp_Financial Modelling in Excel /Exercises_and_Datasets/"/>
    </mc:Choice>
  </mc:AlternateContent>
  <xr:revisionPtr revIDLastSave="0" documentId="13_ncr:1_{CD41BFAC-538D-1C41-AEFB-1EA5A4C94286}" xr6:coauthVersionLast="47" xr6:coauthVersionMax="47" xr10:uidLastSave="{00000000-0000-0000-0000-000000000000}"/>
  <bookViews>
    <workbookView xWindow="0" yWindow="740" windowWidth="30240" windowHeight="1890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1" i="1"/>
  <c r="J10" i="1"/>
  <c r="J3" i="1"/>
  <c r="E15" i="1"/>
  <c r="F15" i="1"/>
  <c r="G15" i="1"/>
  <c r="H15" i="1"/>
  <c r="I15" i="1"/>
  <c r="J15" i="1"/>
  <c r="K15" i="1"/>
  <c r="L15" i="1"/>
  <c r="M15" i="1"/>
  <c r="N15" i="1"/>
  <c r="J8" i="1"/>
  <c r="G2" i="9"/>
  <c r="G3" i="9"/>
  <c r="C3" i="9"/>
  <c r="C2" i="9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  <c r="E53" i="1" l="1"/>
  <c r="J2" i="1"/>
  <c r="C4" i="9" s="1"/>
  <c r="C5" i="9" s="1"/>
  <c r="J6" i="1" s="1"/>
  <c r="J4" i="1" l="1"/>
  <c r="G4" i="9"/>
  <c r="G5" i="9" s="1"/>
  <c r="J7" i="1" s="1"/>
</calcChain>
</file>

<file path=xl/sharedStrings.xml><?xml version="1.0" encoding="utf-8"?>
<sst xmlns="http://schemas.openxmlformats.org/spreadsheetml/2006/main" count="66" uniqueCount="59">
  <si>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</si>
  <si>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</si>
  <si>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</si>
  <si>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</si>
  <si>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</si>
  <si>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</si>
  <si>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</si>
  <si>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</si>
  <si>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</si>
  <si>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</si>
  <si>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</si>
  <si>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</si>
  <si>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</si>
  <si>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</si>
  <si>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</si>
  <si>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</si>
  <si>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</si>
  <si>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</si>
  <si>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</si>
  <si>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</si>
  <si>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</si>
  <si>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</si>
  <si>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</si>
  <si>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</si>
  <si>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</si>
  <si>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</si>
  <si>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</si>
  <si>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</si>
  <si>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</si>
  <si>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</si>
  <si>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</si>
  <si>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</si>
  <si>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</si>
  <si>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</si>
  <si>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</si>
  <si>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</si>
  <si>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</si>
  <si>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</si>
  <si>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</si>
  <si>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</si>
  <si>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</si>
  <si>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</si>
  <si>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</si>
  <si>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</si>
  <si>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</si>
  <si>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</si>
  <si>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</si>
  <si>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Number of Periods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</si>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</sst>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0" applyNumberFormat="1" applyFill="1"/>
    <xf numFmtId="10" fontId="9" fillId="0" borderId="0" xfId="0" applyNumberFormat="1" applyFont="1"/>
    <xf numFmtId="0" fontId="9" fillId="0" borderId="0" xfId="0" applyFont="1"/>
    <xf numFmtId="165" fontId="9" fillId="0" borderId="0" xfId="1" applyNumberFormat="1" applyFont="1"/>
    <xf numFmtId="10" fontId="6" fillId="2" borderId="0" xfId="0" applyNumberFormat="1" applyFont="1" applyFill="1"/>
    <xf numFmtId="6" fontId="9" fillId="0" borderId="0" xfId="1" applyNumberFormat="1" applyFont="1"/>
    <xf numFmtId="165" fontId="9" fillId="2" borderId="0" xfId="1" applyNumberFormat="1" applyFont="1" applyFill="1"/>
    <xf numFmtId="8" fontId="0" fillId="0" borderId="0" xfId="0" applyNumberFormat="1"/>
    <xf numFmtId="43" fontId="0" fillId="0" borderId="0" xfId="1" applyFont="1"/>
    <xf numFmtId="165" fontId="0" fillId="2" borderId="0" xfId="1" applyNumberFormat="1" applyFont="1" applyFill="1"/>
    <xf numFmtId="14" fontId="0" fillId="0" borderId="0" xfId="0" applyNumberFormat="1" applyAlignment="1">
      <alignment horizontal="center"/>
    </xf>
    <xf numFmtId="10" fontId="0" fillId="2" borderId="0" xfId="2" applyNumberFormat="1" applyFon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552350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>
      <selection activeCell="J9" sqref="J9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7" width="13.6640625" bestFit="1" customWidth="1"/>
    <col min="8" max="8" width="18.6640625" bestFit="1" customWidth="1"/>
    <col min="9" max="9" width="14.6640625" bestFit="1" customWidth="1"/>
    <col min="10" max="10" width="14.33203125" bestFit="1" customWidth="1"/>
    <col min="11" max="11" width="12.5" bestFit="1" customWidth="1"/>
    <col min="12" max="13" width="12.1640625" bestFit="1" customWidth="1"/>
    <col min="14" max="14" width="15.6640625" bestFit="1" customWidth="1"/>
    <col min="15" max="15" width="13.6640625" bestFit="1" customWidth="1"/>
  </cols>
  <sheetData>
    <row r="1" spans="1:14" x14ac:dyDescent="0.2">
      <c r="A1" s="34" t="s">
        <v>18</v>
      </c>
      <c r="B1" s="34"/>
      <c r="D1" s="34" t="s">
        <v>25</v>
      </c>
      <c r="E1" s="34"/>
      <c r="F1" s="34"/>
      <c r="H1" s="34" t="s">
        <v>54</v>
      </c>
      <c r="I1" s="34"/>
      <c r="J1" s="34"/>
    </row>
    <row r="2" spans="1:14" x14ac:dyDescent="0.2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50</v>
      </c>
      <c r="J2" s="30">
        <f>ABS(SUM(D51:E51))</f>
        <v>9288683.333333334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55</v>
      </c>
      <c r="I3" s="4"/>
      <c r="J3" s="41">
        <f>SUM(D53:N53)+J2</f>
        <v>79660390.810465187</v>
      </c>
      <c r="K3" s="26"/>
    </row>
    <row r="4" spans="1:14" x14ac:dyDescent="0.2">
      <c r="A4" t="s">
        <v>1</v>
      </c>
      <c r="B4" s="10">
        <v>1994</v>
      </c>
      <c r="H4" t="s">
        <v>49</v>
      </c>
      <c r="J4" s="37">
        <f>J3/J2</f>
        <v>8.5760691749062232</v>
      </c>
    </row>
    <row r="5" spans="1:14" x14ac:dyDescent="0.2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45">
        <v>0.2</v>
      </c>
    </row>
    <row r="6" spans="1:14" x14ac:dyDescent="0.2">
      <c r="A6" t="s">
        <v>41</v>
      </c>
      <c r="B6" s="10" t="s">
        <v>42</v>
      </c>
      <c r="D6" t="s">
        <v>40</v>
      </c>
      <c r="F6" s="32">
        <v>10</v>
      </c>
      <c r="H6" t="s">
        <v>56</v>
      </c>
      <c r="J6" s="44">
        <f>'TVM Analysis'!C5</f>
        <v>57513078.911139838</v>
      </c>
    </row>
    <row r="7" spans="1:14" x14ac:dyDescent="0.2">
      <c r="D7" s="4" t="s">
        <v>39</v>
      </c>
      <c r="E7" s="4"/>
      <c r="F7" s="27">
        <v>0.05</v>
      </c>
      <c r="H7" s="4" t="s">
        <v>53</v>
      </c>
      <c r="I7" s="4"/>
      <c r="J7" s="47">
        <f>'TVM Analysis'!G5</f>
        <v>12865597.851077091</v>
      </c>
    </row>
    <row r="8" spans="1:14" x14ac:dyDescent="0.2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52</v>
      </c>
      <c r="J8" s="30">
        <f>NPV(J5,E53:N53)+D53</f>
        <v>7391418.7105337754</v>
      </c>
    </row>
    <row r="9" spans="1:14" x14ac:dyDescent="0.2">
      <c r="A9" s="25" t="s">
        <v>38</v>
      </c>
      <c r="B9" s="8">
        <v>0.02</v>
      </c>
      <c r="H9" s="4" t="s">
        <v>57</v>
      </c>
      <c r="I9" s="4"/>
      <c r="J9" s="50">
        <f>XNPV(J5,D53:N53,D15:N15)</f>
        <v>7372046.6745773824</v>
      </c>
      <c r="K9" s="49"/>
    </row>
    <row r="10" spans="1:14" x14ac:dyDescent="0.2">
      <c r="A10" s="4" t="s">
        <v>37</v>
      </c>
      <c r="B10" s="27">
        <v>0.05</v>
      </c>
      <c r="H10" t="s">
        <v>51</v>
      </c>
      <c r="J10" s="25">
        <f>IRR(D53:N53)</f>
        <v>0.29781515057450703</v>
      </c>
    </row>
    <row r="11" spans="1:14" x14ac:dyDescent="0.2">
      <c r="H11" s="4" t="s">
        <v>58</v>
      </c>
      <c r="I11" s="4"/>
      <c r="J11" s="52">
        <f>XIRR(D53:N53,D15:N15)</f>
        <v>0.29754770398139962</v>
      </c>
    </row>
    <row r="14" spans="1:14" x14ac:dyDescent="0.2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x14ac:dyDescent="0.2">
      <c r="D15" s="51">
        <v>45322</v>
      </c>
      <c r="E15" s="51">
        <f>EOMONTH(D15,12)</f>
        <v>45688</v>
      </c>
      <c r="F15" s="51">
        <f t="shared" ref="F15:N15" si="0">EOMONTH(E15,12)</f>
        <v>46053</v>
      </c>
      <c r="G15" s="51">
        <f t="shared" si="0"/>
        <v>46418</v>
      </c>
      <c r="H15" s="51">
        <f t="shared" si="0"/>
        <v>46783</v>
      </c>
      <c r="I15" s="51">
        <f t="shared" si="0"/>
        <v>47149</v>
      </c>
      <c r="J15" s="51">
        <f t="shared" si="0"/>
        <v>47514</v>
      </c>
      <c r="K15" s="51">
        <f t="shared" si="0"/>
        <v>47879</v>
      </c>
      <c r="L15" s="51">
        <f t="shared" si="0"/>
        <v>48244</v>
      </c>
      <c r="M15" s="51">
        <f t="shared" si="0"/>
        <v>48610</v>
      </c>
      <c r="N15" s="51">
        <f t="shared" si="0"/>
        <v>48975</v>
      </c>
    </row>
    <row r="16" spans="1:14" x14ac:dyDescent="0.2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1">E16+1</f>
        <v>2</v>
      </c>
      <c r="G16" s="31">
        <f t="shared" si="1"/>
        <v>3</v>
      </c>
      <c r="H16" s="31">
        <f>G16+1</f>
        <v>4</v>
      </c>
      <c r="I16" s="31">
        <f t="shared" si="1"/>
        <v>5</v>
      </c>
      <c r="J16" s="31">
        <f t="shared" si="1"/>
        <v>6</v>
      </c>
      <c r="K16" s="31">
        <f>J16+1</f>
        <v>7</v>
      </c>
      <c r="L16" s="31">
        <f t="shared" si="1"/>
        <v>8</v>
      </c>
      <c r="M16" s="31">
        <f>L16+1</f>
        <v>9</v>
      </c>
      <c r="N16" s="31">
        <f t="shared" si="1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2">IF(HoldingPeriod&lt;F16,0,F19*Units*12)</f>
        <v>2208000</v>
      </c>
      <c r="G18" s="15">
        <f t="shared" si="2"/>
        <v>2318400</v>
      </c>
      <c r="H18" s="15">
        <f t="shared" si="2"/>
        <v>2434320</v>
      </c>
      <c r="I18" s="15">
        <f t="shared" si="2"/>
        <v>2556036</v>
      </c>
      <c r="J18" s="15">
        <f t="shared" si="2"/>
        <v>2683837.7999999998</v>
      </c>
      <c r="K18" s="15">
        <f t="shared" si="2"/>
        <v>2818029.69</v>
      </c>
      <c r="L18" s="15">
        <f t="shared" si="2"/>
        <v>2958931.1745000007</v>
      </c>
      <c r="M18" s="15">
        <f t="shared" si="2"/>
        <v>3106877.7332250006</v>
      </c>
      <c r="N18" s="15">
        <f t="shared" si="2"/>
        <v>3262221.6198862512</v>
      </c>
    </row>
    <row r="19" spans="1:15" x14ac:dyDescent="0.2">
      <c r="A19" s="24" t="s">
        <v>2</v>
      </c>
      <c r="B19" s="6"/>
      <c r="D19" s="6"/>
      <c r="E19" s="6"/>
      <c r="F19" s="6">
        <v>2300</v>
      </c>
      <c r="G19" s="16">
        <f t="shared" ref="G19:N19" si="3">F19*(1+RentGrowth)</f>
        <v>2415</v>
      </c>
      <c r="H19" s="16">
        <f>G19*(1+RentGrowth)</f>
        <v>2535.75</v>
      </c>
      <c r="I19" s="16">
        <f t="shared" si="3"/>
        <v>2662.5374999999999</v>
      </c>
      <c r="J19" s="16">
        <f t="shared" si="3"/>
        <v>2795.6643749999998</v>
      </c>
      <c r="K19" s="16">
        <f>J19*(1+RentGrowth)</f>
        <v>2935.4475937500001</v>
      </c>
      <c r="L19" s="16">
        <f t="shared" si="3"/>
        <v>3082.2199734375004</v>
      </c>
      <c r="M19" s="16">
        <f t="shared" si="3"/>
        <v>3236.3309721093756</v>
      </c>
      <c r="N19" s="16">
        <f t="shared" si="3"/>
        <v>3398.1475207148446</v>
      </c>
    </row>
    <row r="20" spans="1:15" x14ac:dyDescent="0.2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">
      <c r="A21" t="s">
        <v>31</v>
      </c>
      <c r="B21" s="16">
        <v>-410784.00000000006</v>
      </c>
      <c r="D21" s="16">
        <f t="shared" ref="D21:N21" si="4">-D18*(1-D23)</f>
        <v>0</v>
      </c>
      <c r="E21" s="16">
        <f t="shared" si="4"/>
        <v>0</v>
      </c>
      <c r="F21" s="16">
        <f t="shared" si="4"/>
        <v>-552000</v>
      </c>
      <c r="G21" s="16">
        <f t="shared" si="4"/>
        <v>-115920.0000000001</v>
      </c>
      <c r="H21" s="16">
        <f t="shared" si="4"/>
        <v>-121716.0000000001</v>
      </c>
      <c r="I21" s="16">
        <f t="shared" si="4"/>
        <v>-127801.80000000012</v>
      </c>
      <c r="J21" s="16">
        <f t="shared" si="4"/>
        <v>-134191.8900000001</v>
      </c>
      <c r="K21" s="16">
        <f t="shared" si="4"/>
        <v>-140901.48450000014</v>
      </c>
      <c r="L21" s="16">
        <f t="shared" si="4"/>
        <v>-147946.55872500016</v>
      </c>
      <c r="M21" s="16">
        <f t="shared" si="4"/>
        <v>-155343.88666125017</v>
      </c>
      <c r="N21" s="16">
        <f t="shared" si="4"/>
        <v>-163111.08099431271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29"/>
      <c r="E23" s="29">
        <f t="shared" ref="E23:N23" si="5">E22/Units</f>
        <v>0</v>
      </c>
      <c r="F23" s="29">
        <f t="shared" si="5"/>
        <v>0.75</v>
      </c>
      <c r="G23" s="29">
        <f t="shared" si="5"/>
        <v>0.95</v>
      </c>
      <c r="H23" s="29">
        <f t="shared" si="5"/>
        <v>0.95</v>
      </c>
      <c r="I23" s="29">
        <f t="shared" si="5"/>
        <v>0.95</v>
      </c>
      <c r="J23" s="29">
        <f t="shared" si="5"/>
        <v>0.95</v>
      </c>
      <c r="K23" s="29">
        <f t="shared" si="5"/>
        <v>0.95</v>
      </c>
      <c r="L23" s="29">
        <f t="shared" si="5"/>
        <v>0.95</v>
      </c>
      <c r="M23" s="29">
        <f t="shared" si="5"/>
        <v>0.95</v>
      </c>
      <c r="N23" s="29">
        <f t="shared" si="5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6">SUM(E21,E18)*E26</f>
        <v>0</v>
      </c>
      <c r="F25" s="17">
        <f t="shared" si="6"/>
        <v>99360</v>
      </c>
      <c r="G25" s="17">
        <f t="shared" si="6"/>
        <v>88099.199999999997</v>
      </c>
      <c r="H25" s="17">
        <f t="shared" si="6"/>
        <v>92504.16</v>
      </c>
      <c r="I25" s="17">
        <f t="shared" si="6"/>
        <v>97129.367999999988</v>
      </c>
      <c r="J25" s="17">
        <f t="shared" si="6"/>
        <v>101985.83639999999</v>
      </c>
      <c r="K25" s="17">
        <f t="shared" si="6"/>
        <v>107085.12821999998</v>
      </c>
      <c r="L25" s="17">
        <f t="shared" si="6"/>
        <v>112439.38463100001</v>
      </c>
      <c r="M25" s="17">
        <f t="shared" si="6"/>
        <v>118061.35386255002</v>
      </c>
      <c r="N25" s="17">
        <f t="shared" si="6"/>
        <v>123964.42155567755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7">SUM(D18,D21,D25)</f>
        <v>0</v>
      </c>
      <c r="E28" s="18">
        <f t="shared" si="7"/>
        <v>0</v>
      </c>
      <c r="F28" s="18">
        <f t="shared" si="7"/>
        <v>1755360</v>
      </c>
      <c r="G28" s="18">
        <f t="shared" si="7"/>
        <v>2290579.2000000002</v>
      </c>
      <c r="H28" s="18">
        <f t="shared" si="7"/>
        <v>2405108.16</v>
      </c>
      <c r="I28" s="18">
        <f t="shared" si="7"/>
        <v>2525363.5679999995</v>
      </c>
      <c r="J28" s="18">
        <f t="shared" si="7"/>
        <v>2651631.7463999996</v>
      </c>
      <c r="K28" s="18">
        <f t="shared" si="7"/>
        <v>2784213.3337199995</v>
      </c>
      <c r="L28" s="18">
        <f t="shared" si="7"/>
        <v>2923424.0004060003</v>
      </c>
      <c r="M28" s="18">
        <f t="shared" si="7"/>
        <v>3069595.2004263005</v>
      </c>
      <c r="N28" s="18">
        <f t="shared" si="7"/>
        <v>3223074.9604476159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8">SUM(F18+F21)*F31</f>
        <v>82800</v>
      </c>
      <c r="G30" s="19">
        <f t="shared" si="8"/>
        <v>110124</v>
      </c>
      <c r="H30" s="19">
        <f t="shared" si="8"/>
        <v>115630.20000000001</v>
      </c>
      <c r="I30" s="19">
        <f t="shared" si="8"/>
        <v>121411.70999999999</v>
      </c>
      <c r="J30" s="19">
        <f t="shared" si="8"/>
        <v>127482.29549999999</v>
      </c>
      <c r="K30" s="19">
        <f t="shared" si="8"/>
        <v>133856.410275</v>
      </c>
      <c r="L30" s="19">
        <f t="shared" si="8"/>
        <v>140549.23078875002</v>
      </c>
      <c r="M30" s="19">
        <f t="shared" si="8"/>
        <v>147576.69232818752</v>
      </c>
      <c r="N30" s="19">
        <f t="shared" si="8"/>
        <v>154955.52694459693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9">SUM(E$18+E$21)*E34</f>
        <v>0</v>
      </c>
      <c r="F33" s="19">
        <f t="shared" si="9"/>
        <v>49680</v>
      </c>
      <c r="G33" s="19">
        <f t="shared" si="9"/>
        <v>66074.399999999994</v>
      </c>
      <c r="H33" s="19">
        <f>SUM(H$18+H$21)*H34</f>
        <v>69378.12</v>
      </c>
      <c r="I33" s="19">
        <f>SUM(I$18+I$21)*I34</f>
        <v>72847.025999999983</v>
      </c>
      <c r="J33" s="19">
        <f>SUM(J$18+J$21)*J34</f>
        <v>76489.377299999993</v>
      </c>
      <c r="K33" s="19">
        <f t="shared" si="9"/>
        <v>80313.846164999981</v>
      </c>
      <c r="L33" s="19">
        <f t="shared" si="9"/>
        <v>84329.53847325001</v>
      </c>
      <c r="M33" s="19">
        <f t="shared" si="9"/>
        <v>88546.015396912509</v>
      </c>
      <c r="N33" s="19">
        <f t="shared" si="9"/>
        <v>92973.316166758159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10">IF(HoldingPeriod&lt;E16,0,(Units-E22)*E37)</f>
        <v>24000</v>
      </c>
      <c r="F36" s="19">
        <f t="shared" si="10"/>
        <v>6120</v>
      </c>
      <c r="G36" s="19">
        <f t="shared" si="10"/>
        <v>1248.48</v>
      </c>
      <c r="H36" s="19">
        <f t="shared" si="10"/>
        <v>1273.4496000000001</v>
      </c>
      <c r="I36" s="19">
        <f t="shared" si="10"/>
        <v>1298.9185920000002</v>
      </c>
      <c r="J36" s="19">
        <f t="shared" si="10"/>
        <v>1324.8969638400004</v>
      </c>
      <c r="K36" s="19">
        <f t="shared" si="10"/>
        <v>1351.3949031168004</v>
      </c>
      <c r="L36" s="19">
        <f t="shared" si="10"/>
        <v>1378.4228011791365</v>
      </c>
      <c r="M36" s="19">
        <f t="shared" si="10"/>
        <v>1405.9912572027192</v>
      </c>
      <c r="N36" s="19">
        <f t="shared" si="10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1">E37*(1+CostGrowth)</f>
        <v>306</v>
      </c>
      <c r="G37" s="5">
        <f t="shared" si="11"/>
        <v>312.12</v>
      </c>
      <c r="H37" s="5">
        <f>G37*(1+CostGrowth)</f>
        <v>318.36240000000004</v>
      </c>
      <c r="I37" s="5">
        <f t="shared" si="11"/>
        <v>324.72964800000005</v>
      </c>
      <c r="J37" s="5">
        <f t="shared" si="11"/>
        <v>331.22424096000009</v>
      </c>
      <c r="K37" s="5">
        <f>J37*(1+CostGrowth)</f>
        <v>337.84872577920009</v>
      </c>
      <c r="L37" s="5">
        <f t="shared" si="11"/>
        <v>344.60570029478413</v>
      </c>
      <c r="M37" s="5">
        <f t="shared" si="11"/>
        <v>351.49781430067981</v>
      </c>
      <c r="N37" s="5">
        <f t="shared" si="11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2">IF(HoldingPeriod&lt;E16,0,$B$39*(1+CostGrowth^E16))</f>
        <v>-216833.64</v>
      </c>
      <c r="F39" s="19">
        <f t="shared" si="12"/>
        <v>-212667.03279999999</v>
      </c>
      <c r="G39" s="19">
        <f t="shared" si="12"/>
        <v>-212583.700656</v>
      </c>
      <c r="H39" s="19">
        <f t="shared" si="12"/>
        <v>-212582.03401311999</v>
      </c>
      <c r="I39" s="19">
        <f t="shared" si="12"/>
        <v>-212582.0006802624</v>
      </c>
      <c r="J39" s="19">
        <f t="shared" si="12"/>
        <v>-212582.00001360523</v>
      </c>
      <c r="K39" s="19">
        <f t="shared" si="12"/>
        <v>-212582.00000027212</v>
      </c>
      <c r="L39" s="19">
        <f t="shared" si="12"/>
        <v>-212582.00000000544</v>
      </c>
      <c r="M39" s="19">
        <f t="shared" si="12"/>
        <v>-212582.00000000009</v>
      </c>
      <c r="N39" s="19">
        <f t="shared" si="12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3">IF(HoldingPeriod&lt;E16,0,-E41*E42)</f>
        <v>-255103.91666666672</v>
      </c>
      <c r="F40" s="19">
        <f t="shared" si="13"/>
        <v>-260205.99500000005</v>
      </c>
      <c r="G40" s="19">
        <f t="shared" si="13"/>
        <v>-265410.1149000001</v>
      </c>
      <c r="H40" s="19">
        <f t="shared" si="13"/>
        <v>-270718.31719800009</v>
      </c>
      <c r="I40" s="19">
        <f t="shared" si="13"/>
        <v>-276132.68354196008</v>
      </c>
      <c r="J40" s="19">
        <f t="shared" si="13"/>
        <v>-281655.33721279929</v>
      </c>
      <c r="K40" s="19">
        <f t="shared" si="13"/>
        <v>-287288.44395705522</v>
      </c>
      <c r="L40" s="19">
        <f t="shared" si="13"/>
        <v>-293034.21283619636</v>
      </c>
      <c r="M40" s="19">
        <f t="shared" si="13"/>
        <v>-298894.89709292026</v>
      </c>
      <c r="N40" s="19">
        <f t="shared" si="13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4">E42*(1+CostGrowth)</f>
        <v>7434457.0000000009</v>
      </c>
      <c r="G42" s="5">
        <f t="shared" si="14"/>
        <v>7583146.1400000015</v>
      </c>
      <c r="H42" s="5">
        <f>G42*(1+CostGrowth)</f>
        <v>7734809.0628000014</v>
      </c>
      <c r="I42" s="5">
        <f t="shared" si="14"/>
        <v>7889505.2440560013</v>
      </c>
      <c r="J42" s="5">
        <f t="shared" si="14"/>
        <v>8047295.3489371212</v>
      </c>
      <c r="K42" s="5">
        <f>J42*(1+CostGrowth)</f>
        <v>8208241.2559158634</v>
      </c>
      <c r="L42" s="5">
        <f t="shared" si="14"/>
        <v>8372406.0810341807</v>
      </c>
      <c r="M42" s="5">
        <f t="shared" si="14"/>
        <v>8539854.2026548646</v>
      </c>
      <c r="N42" s="5">
        <f t="shared" si="14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5">SUM(D30,D33,D36,D39,D40)</f>
        <v>0</v>
      </c>
      <c r="E44" s="22">
        <f t="shared" si="15"/>
        <v>-447937.55666666676</v>
      </c>
      <c r="F44" s="22">
        <f t="shared" si="15"/>
        <v>-334273.02780000004</v>
      </c>
      <c r="G44" s="22">
        <f t="shared" si="15"/>
        <v>-300546.9355560001</v>
      </c>
      <c r="H44" s="22">
        <f t="shared" si="15"/>
        <v>-297018.58161112008</v>
      </c>
      <c r="I44" s="22">
        <f t="shared" si="15"/>
        <v>-293157.02963022247</v>
      </c>
      <c r="J44" s="22">
        <f t="shared" si="15"/>
        <v>-288940.76746256452</v>
      </c>
      <c r="K44" s="22">
        <f t="shared" si="15"/>
        <v>-284348.79261421057</v>
      </c>
      <c r="L44" s="22">
        <f t="shared" si="15"/>
        <v>-279359.02077302261</v>
      </c>
      <c r="M44" s="22">
        <f t="shared" si="15"/>
        <v>-273948.19811061758</v>
      </c>
      <c r="N44" s="22">
        <f t="shared" si="15"/>
        <v>-268091.84084107686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6">SUM(D28,D44)</f>
        <v>0</v>
      </c>
      <c r="E46" s="18">
        <f t="shared" si="16"/>
        <v>-447937.55666666676</v>
      </c>
      <c r="F46" s="18">
        <f t="shared" si="16"/>
        <v>1421086.9722</v>
      </c>
      <c r="G46" s="18">
        <f t="shared" si="16"/>
        <v>1990032.2644440001</v>
      </c>
      <c r="H46" s="18">
        <f t="shared" si="16"/>
        <v>2108089.57838888</v>
      </c>
      <c r="I46" s="18">
        <f t="shared" si="16"/>
        <v>2232206.5383697771</v>
      </c>
      <c r="J46" s="18">
        <f t="shared" si="16"/>
        <v>2362690.978937435</v>
      </c>
      <c r="K46" s="18">
        <f t="shared" si="16"/>
        <v>2499864.5411057891</v>
      </c>
      <c r="L46" s="18">
        <f t="shared" si="16"/>
        <v>2644064.9796329779</v>
      </c>
      <c r="M46" s="18">
        <f t="shared" si="16"/>
        <v>2795647.0023156828</v>
      </c>
      <c r="N46" s="18">
        <f t="shared" si="16"/>
        <v>2954983.1196065391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7">IF(HoldingPeriod=E16,SellPrice,0)</f>
        <v>0</v>
      </c>
      <c r="F48" s="19">
        <f t="shared" si="17"/>
        <v>0</v>
      </c>
      <c r="G48" s="19">
        <f t="shared" si="17"/>
        <v>0</v>
      </c>
      <c r="H48" s="19">
        <f t="shared" si="17"/>
        <v>0</v>
      </c>
      <c r="I48" s="19">
        <f t="shared" si="17"/>
        <v>0</v>
      </c>
      <c r="J48" s="19">
        <f t="shared" si="17"/>
        <v>0</v>
      </c>
      <c r="K48" s="19">
        <f t="shared" si="17"/>
        <v>0</v>
      </c>
      <c r="L48" s="19">
        <f t="shared" si="17"/>
        <v>0</v>
      </c>
      <c r="M48" s="19">
        <f t="shared" si="17"/>
        <v>0</v>
      </c>
      <c r="N48" s="19">
        <f t="shared" si="17"/>
        <v>59099662.392130777</v>
      </c>
    </row>
    <row r="49" spans="1:15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5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5" x14ac:dyDescent="0.2">
      <c r="A51" s="3" t="s">
        <v>11</v>
      </c>
      <c r="B51" s="18">
        <f>SUM(B48:B49)</f>
        <v>-21182</v>
      </c>
      <c r="D51" s="18">
        <f t="shared" ref="D51:N51" si="18">SUM(D48:D49)</f>
        <v>-7288683.333333334</v>
      </c>
      <c r="E51" s="18">
        <f t="shared" si="18"/>
        <v>-2000000</v>
      </c>
      <c r="F51" s="18">
        <f t="shared" si="18"/>
        <v>0</v>
      </c>
      <c r="G51" s="18">
        <f t="shared" si="18"/>
        <v>0</v>
      </c>
      <c r="H51" s="18">
        <f t="shared" si="18"/>
        <v>0</v>
      </c>
      <c r="I51" s="18">
        <f t="shared" si="18"/>
        <v>0</v>
      </c>
      <c r="J51" s="18">
        <f t="shared" si="18"/>
        <v>0</v>
      </c>
      <c r="K51" s="18">
        <f t="shared" si="18"/>
        <v>0</v>
      </c>
      <c r="L51" s="18">
        <f t="shared" si="18"/>
        <v>0</v>
      </c>
      <c r="M51" s="18">
        <f t="shared" si="18"/>
        <v>0</v>
      </c>
      <c r="N51" s="18">
        <f t="shared" si="18"/>
        <v>59099662.392130777</v>
      </c>
    </row>
    <row r="52" spans="1:15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5" x14ac:dyDescent="0.2">
      <c r="A53" s="3" t="s">
        <v>21</v>
      </c>
      <c r="B53" s="18">
        <f>SUM(B46,B51)</f>
        <v>416139</v>
      </c>
      <c r="C53" s="30"/>
      <c r="D53" s="18">
        <f t="shared" ref="D53:N53" si="19">SUM(D46,D51)</f>
        <v>-7288683.333333334</v>
      </c>
      <c r="E53" s="18">
        <f t="shared" si="19"/>
        <v>-2447937.5566666666</v>
      </c>
      <c r="F53" s="18">
        <f t="shared" si="19"/>
        <v>1421086.9722</v>
      </c>
      <c r="G53" s="18">
        <f t="shared" si="19"/>
        <v>1990032.2644440001</v>
      </c>
      <c r="H53" s="18">
        <f t="shared" si="19"/>
        <v>2108089.57838888</v>
      </c>
      <c r="I53" s="18">
        <f t="shared" si="19"/>
        <v>2232206.5383697771</v>
      </c>
      <c r="J53" s="18">
        <f t="shared" si="19"/>
        <v>2362690.978937435</v>
      </c>
      <c r="K53" s="18">
        <f t="shared" si="19"/>
        <v>2499864.5411057891</v>
      </c>
      <c r="L53" s="18">
        <f t="shared" si="19"/>
        <v>2644064.9796329779</v>
      </c>
      <c r="M53" s="18">
        <f t="shared" si="19"/>
        <v>2795647.0023156828</v>
      </c>
      <c r="N53" s="18">
        <f t="shared" si="19"/>
        <v>62054645.511737317</v>
      </c>
    </row>
    <row r="54" spans="1:15" x14ac:dyDescent="0.2"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 x14ac:dyDescent="0.2">
      <c r="O55" s="33"/>
    </row>
    <row r="56" spans="1:15" x14ac:dyDescent="0.2">
      <c r="O56" s="48"/>
    </row>
    <row r="57" spans="1:15" x14ac:dyDescent="0.2">
      <c r="A57" s="30"/>
      <c r="B57" s="33"/>
      <c r="C57" s="30"/>
      <c r="D57" s="30"/>
      <c r="E57" s="30"/>
      <c r="F57" s="30"/>
      <c r="N57" s="9"/>
    </row>
    <row r="58" spans="1:15" x14ac:dyDescent="0.2">
      <c r="A58" s="37"/>
      <c r="B58" s="33"/>
      <c r="C58" s="33"/>
      <c r="D58" s="33"/>
      <c r="E58" s="33"/>
      <c r="F58" s="33"/>
    </row>
    <row r="59" spans="1:15" x14ac:dyDescent="0.2">
      <c r="A59" s="37"/>
      <c r="B59" s="33"/>
      <c r="C59" s="33"/>
      <c r="D59" s="33"/>
      <c r="E59" s="33"/>
      <c r="F59" s="33"/>
    </row>
    <row r="60" spans="1:15" x14ac:dyDescent="0.2">
      <c r="A60" s="37"/>
      <c r="B60" s="33"/>
      <c r="C60" s="33"/>
      <c r="D60" s="33"/>
      <c r="E60" s="33"/>
      <c r="F60" s="33"/>
    </row>
    <row r="61" spans="1:15" x14ac:dyDescent="0.2">
      <c r="A61" s="37"/>
      <c r="B61" s="33"/>
      <c r="C61" s="33"/>
      <c r="D61" s="33"/>
      <c r="E61" s="33"/>
      <c r="F61" s="33"/>
    </row>
    <row r="62" spans="1:15" x14ac:dyDescent="0.2">
      <c r="A62" s="37"/>
      <c r="B62" s="33"/>
      <c r="C62" s="33"/>
      <c r="D62" s="33"/>
      <c r="E62" s="33"/>
      <c r="F62" s="33"/>
    </row>
    <row r="64" spans="1:15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>
      <selection activeCell="G5" sqref="G5"/>
    </sheetView>
  </sheetViews>
  <sheetFormatPr baseColWidth="10" defaultColWidth="8.83203125" defaultRowHeight="15" x14ac:dyDescent="0.2"/>
  <cols>
    <col min="1" max="1" width="18.83203125" bestFit="1" customWidth="1"/>
    <col min="2" max="2" width="11" bestFit="1" customWidth="1"/>
    <col min="3" max="3" width="14.1640625" bestFit="1" customWidth="1"/>
    <col min="5" max="5" width="18.83203125" bestFit="1" customWidth="1"/>
    <col min="6" max="6" width="11" style="12" bestFit="1" customWidth="1"/>
    <col min="7" max="7" width="13.6640625" style="12" bestFit="1" customWidth="1"/>
  </cols>
  <sheetData>
    <row r="1" spans="1:7" x14ac:dyDescent="0.2">
      <c r="A1" s="34" t="s">
        <v>48</v>
      </c>
      <c r="B1" s="34"/>
      <c r="C1" s="34"/>
      <c r="E1" s="34" t="s">
        <v>46</v>
      </c>
      <c r="F1" s="34"/>
      <c r="G1" s="34"/>
    </row>
    <row r="2" spans="1:7" x14ac:dyDescent="0.2">
      <c r="A2" t="s">
        <v>45</v>
      </c>
      <c r="B2" s="38"/>
      <c r="C2" s="42">
        <f>Analysis!J5</f>
        <v>0.2</v>
      </c>
      <c r="E2" t="s">
        <v>45</v>
      </c>
      <c r="F2" s="38"/>
      <c r="G2" s="42">
        <f>Analysis!J5</f>
        <v>0.2</v>
      </c>
    </row>
    <row r="3" spans="1:7" x14ac:dyDescent="0.2">
      <c r="A3" t="s">
        <v>47</v>
      </c>
      <c r="B3" s="38"/>
      <c r="C3" s="43">
        <f>Analysis!F6</f>
        <v>10</v>
      </c>
      <c r="E3" t="s">
        <v>47</v>
      </c>
      <c r="F3" s="38"/>
      <c r="G3" s="43">
        <f>HoldingPeriod</f>
        <v>10</v>
      </c>
    </row>
    <row r="4" spans="1:7" x14ac:dyDescent="0.2">
      <c r="A4" t="s">
        <v>46</v>
      </c>
      <c r="B4" s="39"/>
      <c r="C4" s="44">
        <f>Analysis!J2</f>
        <v>9288683.333333334</v>
      </c>
      <c r="E4" t="s">
        <v>48</v>
      </c>
      <c r="F4" s="40"/>
      <c r="G4" s="46">
        <f>Analysis!J3</f>
        <v>79660390.810465187</v>
      </c>
    </row>
    <row r="5" spans="1:7" x14ac:dyDescent="0.2">
      <c r="A5" t="s">
        <v>48</v>
      </c>
      <c r="B5" s="40"/>
      <c r="C5" s="16">
        <f>FV(C2,C3,,-C4)</f>
        <v>57513078.911139838</v>
      </c>
      <c r="E5" t="s">
        <v>46</v>
      </c>
      <c r="F5" s="39"/>
      <c r="G5" s="16">
        <f>-PV(G2,G3,,G4)</f>
        <v>12865597.851077091</v>
      </c>
    </row>
    <row r="6" spans="1:7" x14ac:dyDescent="0.2">
      <c r="B6" s="12"/>
      <c r="C6" s="12"/>
    </row>
    <row r="7" spans="1:7" x14ac:dyDescent="0.2">
      <c r="B7" s="12"/>
      <c r="C7" s="12"/>
    </row>
    <row r="8" spans="1:7" x14ac:dyDescent="0.2">
      <c r="B8" s="12"/>
      <c r="C8" s="12"/>
    </row>
    <row r="9" spans="1:7" x14ac:dyDescent="0.2">
      <c r="B9" s="12"/>
      <c r="C9" s="12"/>
    </row>
    <row r="10" spans="1:7" x14ac:dyDescent="0.2">
      <c r="B10" s="12"/>
      <c r="C10" s="12"/>
    </row>
    <row r="11" spans="1:7" x14ac:dyDescent="0.2">
      <c r="B11" s="12"/>
      <c r="C11" s="12"/>
    </row>
    <row r="12" spans="1:7" x14ac:dyDescent="0.2">
      <c r="B12" s="12"/>
      <c r="C12" s="12"/>
    </row>
    <row r="13" spans="1:7" x14ac:dyDescent="0.2">
      <c r="B13" s="12"/>
      <c r="C13" s="12"/>
    </row>
    <row r="14" spans="1:7" x14ac:dyDescent="0.2">
      <c r="B14" s="12"/>
      <c r="C14" s="12"/>
    </row>
    <row r="15" spans="1:7" x14ac:dyDescent="0.2">
      <c r="B15" s="12"/>
      <c r="C15" s="12"/>
    </row>
    <row r="16" spans="1:7" x14ac:dyDescent="0.2">
      <c r="B16" s="12"/>
      <c r="C16" s="12"/>
    </row>
    <row r="17" spans="2:3" x14ac:dyDescent="0.2">
      <c r="B17" s="12"/>
      <c r="C17" s="12"/>
    </row>
    <row r="18" spans="2:3" x14ac:dyDescent="0.2">
      <c r="B18" s="12"/>
      <c r="C18" s="12"/>
    </row>
    <row r="19" spans="2:3" x14ac:dyDescent="0.2">
      <c r="B19" s="12"/>
      <c r="C19" s="12"/>
    </row>
    <row r="20" spans="2:3" x14ac:dyDescent="0.2">
      <c r="B20" s="12"/>
      <c r="C20" s="12"/>
    </row>
    <row r="21" spans="2:3" x14ac:dyDescent="0.2">
      <c r="B21" s="12"/>
      <c r="C21" s="12"/>
    </row>
    <row r="22" spans="2:3" x14ac:dyDescent="0.2">
      <c r="B22" s="12"/>
      <c r="C22" s="12"/>
    </row>
    <row r="23" spans="2:3" x14ac:dyDescent="0.2">
      <c r="B23" s="12"/>
      <c r="C23" s="12"/>
    </row>
    <row r="24" spans="2:3" x14ac:dyDescent="0.2">
      <c r="B24" s="12"/>
      <c r="C24" s="12"/>
    </row>
    <row r="25" spans="2:3" x14ac:dyDescent="0.2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TVM 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Vivian Nguyen</cp:lastModifiedBy>
  <dcterms:created xsi:type="dcterms:W3CDTF">2023-09-18T02:06:14Z</dcterms:created>
  <dcterms:modified xsi:type="dcterms:W3CDTF">2025-11-04T14:44:34Z</dcterms:modified>
</cp:coreProperties>
</file>