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3FB79D91-9C62-0F46-A8D3-5BB37E3BFB05}" xr6:coauthVersionLast="47" xr6:coauthVersionMax="47" xr10:uidLastSave="{00000000-0000-0000-0000-000000000000}"/>
  <bookViews>
    <workbookView xWindow="0" yWindow="740" windowWidth="30240" windowHeight="189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3" i="1"/>
  <c r="G4" i="9"/>
  <c r="G5" i="9" s="1"/>
  <c r="J7" i="1" s="1"/>
  <c r="G2" i="9"/>
  <c r="G3" i="9"/>
  <c r="C5" i="9"/>
  <c r="J6" i="1" s="1"/>
  <c r="C3" i="9"/>
  <c r="C4" i="9"/>
  <c r="C2" i="9"/>
  <c r="J4" i="1"/>
  <c r="J2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E53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</calcChain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<sst xmlns="http://schemas.openxmlformats.org/spreadsheetml/2006/main" count="66" uniqueCount="60">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</sst>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65" fontId="9" fillId="0" borderId="0" xfId="1" applyNumberFormat="1" applyFont="1"/>
    <xf numFmtId="10" fontId="6" fillId="2" borderId="0" xfId="0" applyNumberFormat="1" applyFont="1" applyFill="1"/>
    <xf numFmtId="165" fontId="9" fillId="2" borderId="0" xfId="1" applyNumberFormat="1" applyFont="1" applyFill="1"/>
    <xf numFmtId="165" fontId="0" fillId="2" borderId="0" xfId="1" applyNumberFormat="1" applyFont="1" applyFill="1"/>
    <xf numFmtId="10" fontId="0" fillId="2" borderId="0" xfId="2" applyNumberFormat="1" applyFont="1" applyFill="1"/>
    <xf numFmtId="10" fontId="9" fillId="0" borderId="0" xfId="2" applyNumberFormat="1" applyFont="1"/>
    <xf numFmtId="6" fontId="0" fillId="0" borderId="0" xfId="0" applyNumberFormat="1"/>
    <xf numFmtId="14" fontId="0" fillId="0" borderId="0" xfId="0" applyNumberFormat="1"/>
    <xf numFmtId="14" fontId="4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704750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A9" zoomScaleNormal="100" workbookViewId="0">
      <selection activeCell="J8" sqref="J8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5" width="13.6640625" bestFit="1" customWidth="1"/>
    <col min="6" max="6" width="14.6640625" bestFit="1" customWidth="1"/>
    <col min="7" max="7" width="10.5" bestFit="1" customWidth="1"/>
    <col min="8" max="8" width="12.1640625" customWidth="1"/>
    <col min="9" max="9" width="10.5" bestFit="1" customWidth="1"/>
    <col min="10" max="10" width="14.33203125" bestFit="1" customWidth="1"/>
    <col min="11" max="12" width="11.5" bestFit="1" customWidth="1"/>
    <col min="13" max="13" width="11.6640625" bestFit="1" customWidth="1"/>
    <col min="14" max="14" width="12.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0">
        <f>ABS(SUM(D51:E51))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1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43">
        <v>0.2</v>
      </c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2">
        <f>'TVM Analysis'!C5</f>
        <v>57513078.911139838</v>
      </c>
    </row>
    <row r="7" spans="1:14" x14ac:dyDescent="0.2">
      <c r="D7" s="4" t="s">
        <v>39</v>
      </c>
      <c r="E7" s="4"/>
      <c r="F7" s="27">
        <v>0.05</v>
      </c>
      <c r="H7" s="4" t="s">
        <v>52</v>
      </c>
      <c r="I7" s="4"/>
      <c r="J7" s="44">
        <f>'TVM Analysis'!G5</f>
        <v>12865597.851077091</v>
      </c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30">
        <f>NPV(J5,E53:N53)+D53</f>
        <v>7391418.7105337754</v>
      </c>
    </row>
    <row r="9" spans="1:14" x14ac:dyDescent="0.2">
      <c r="A9" s="25" t="s">
        <v>38</v>
      </c>
      <c r="B9" s="8">
        <v>0.02</v>
      </c>
      <c r="H9" s="4" t="s">
        <v>56</v>
      </c>
      <c r="I9" s="4"/>
      <c r="J9" s="45"/>
    </row>
    <row r="10" spans="1:14" x14ac:dyDescent="0.2">
      <c r="A10" s="4" t="s">
        <v>37</v>
      </c>
      <c r="B10" s="27">
        <v>0.05</v>
      </c>
      <c r="H10" t="s">
        <v>50</v>
      </c>
      <c r="J10" s="37"/>
    </row>
    <row r="11" spans="1:14" x14ac:dyDescent="0.2">
      <c r="H11" s="4" t="s">
        <v>57</v>
      </c>
      <c r="I11" s="4"/>
      <c r="J11" s="46"/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9" customFormat="1" x14ac:dyDescent="0.2">
      <c r="B15" s="50"/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0">E16+1</f>
        <v>2</v>
      </c>
      <c r="G16" s="31">
        <f t="shared" si="0"/>
        <v>3</v>
      </c>
      <c r="H16" s="31">
        <f t="shared" si="0"/>
        <v>4</v>
      </c>
      <c r="I16" s="31">
        <f t="shared" si="0"/>
        <v>5</v>
      </c>
      <c r="J16" s="31">
        <f t="shared" si="0"/>
        <v>6</v>
      </c>
      <c r="K16" s="31">
        <f t="shared" si="0"/>
        <v>7</v>
      </c>
      <c r="L16" s="31">
        <f t="shared" si="0"/>
        <v>8</v>
      </c>
      <c r="M16" s="31">
        <f>L16+1</f>
        <v>9</v>
      </c>
      <c r="N16" s="31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4">E22/Units</f>
        <v>0</v>
      </c>
      <c r="F23" s="29">
        <f t="shared" si="4"/>
        <v>0.75</v>
      </c>
      <c r="G23" s="29">
        <f t="shared" si="4"/>
        <v>0.95</v>
      </c>
      <c r="H23" s="29">
        <f t="shared" si="4"/>
        <v>0.95</v>
      </c>
      <c r="I23" s="29">
        <f t="shared" si="4"/>
        <v>0.95</v>
      </c>
      <c r="J23" s="29">
        <f t="shared" si="4"/>
        <v>0.95</v>
      </c>
      <c r="K23" s="29">
        <f t="shared" si="4"/>
        <v>0.95</v>
      </c>
      <c r="L23" s="29">
        <f t="shared" si="4"/>
        <v>0.95</v>
      </c>
      <c r="M23" s="29">
        <f t="shared" si="4"/>
        <v>0.95</v>
      </c>
      <c r="N23" s="29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59099662.392130777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59099662.392130777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0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62054645.511737317</v>
      </c>
    </row>
    <row r="57" spans="1:14" x14ac:dyDescent="0.2">
      <c r="A57" s="30"/>
      <c r="B57" s="33"/>
      <c r="C57" s="30"/>
      <c r="D57" s="30"/>
      <c r="E57" s="30"/>
      <c r="F57" s="30"/>
      <c r="J57" s="48"/>
      <c r="N57" s="9"/>
    </row>
    <row r="58" spans="1:14" x14ac:dyDescent="0.2">
      <c r="A58" s="37"/>
      <c r="B58" s="33"/>
      <c r="C58" s="33"/>
      <c r="D58" s="33"/>
      <c r="E58" s="33"/>
      <c r="F58" s="33"/>
    </row>
    <row r="59" spans="1:14" x14ac:dyDescent="0.2">
      <c r="A59" s="37"/>
      <c r="B59" s="33"/>
      <c r="C59" s="33"/>
      <c r="D59" s="33"/>
      <c r="E59" s="33"/>
      <c r="F59" s="33"/>
    </row>
    <row r="60" spans="1:14" x14ac:dyDescent="0.2">
      <c r="A60" s="37"/>
      <c r="B60" s="33"/>
      <c r="C60" s="33"/>
      <c r="D60" s="33"/>
      <c r="E60" s="33"/>
      <c r="F60" s="33"/>
    </row>
    <row r="61" spans="1:14" x14ac:dyDescent="0.2">
      <c r="A61" s="37"/>
      <c r="B61" s="33"/>
      <c r="C61" s="33"/>
      <c r="D61" s="33"/>
      <c r="E61" s="33"/>
      <c r="F61" s="33"/>
    </row>
    <row r="62" spans="1:14" x14ac:dyDescent="0.2">
      <c r="A62" s="37"/>
      <c r="B62" s="33"/>
      <c r="C62" s="33"/>
      <c r="D62" s="33"/>
      <c r="E62" s="33"/>
      <c r="F62" s="33"/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G4" sqref="G4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  <col min="3" max="3" width="14.1640625" bestFit="1" customWidth="1"/>
    <col min="5" max="5" width="18.83203125" bestFit="1" customWidth="1"/>
    <col min="6" max="6" width="11" style="12" bestFit="1" customWidth="1"/>
    <col min="7" max="7" width="13.6640625" style="12" bestFit="1" customWidth="1"/>
  </cols>
  <sheetData>
    <row r="1" spans="1:7" x14ac:dyDescent="0.2">
      <c r="A1" s="34" t="s">
        <v>47</v>
      </c>
      <c r="B1" s="34"/>
      <c r="C1" s="34"/>
      <c r="E1" s="34" t="s">
        <v>46</v>
      </c>
      <c r="F1" s="34"/>
      <c r="G1" s="34"/>
    </row>
    <row r="2" spans="1:7" x14ac:dyDescent="0.2">
      <c r="A2" t="s">
        <v>58</v>
      </c>
      <c r="B2" s="38"/>
      <c r="C2" s="47">
        <f>Analysis!J5</f>
        <v>0.2</v>
      </c>
      <c r="E2" t="s">
        <v>58</v>
      </c>
      <c r="F2" s="38"/>
      <c r="G2" s="47">
        <f>Analysis!J5</f>
        <v>0.2</v>
      </c>
    </row>
    <row r="3" spans="1:7" x14ac:dyDescent="0.2">
      <c r="A3" t="s">
        <v>59</v>
      </c>
      <c r="B3" s="38"/>
      <c r="C3" s="42">
        <f>Analysis!F6</f>
        <v>10</v>
      </c>
      <c r="E3" t="s">
        <v>59</v>
      </c>
      <c r="F3" s="38"/>
      <c r="G3" s="42">
        <f>HoldingPeriod</f>
        <v>10</v>
      </c>
    </row>
    <row r="4" spans="1:7" x14ac:dyDescent="0.2">
      <c r="A4" t="s">
        <v>52</v>
      </c>
      <c r="B4" s="39"/>
      <c r="C4" s="42">
        <f>Analysis!J2</f>
        <v>9288683.333333334</v>
      </c>
      <c r="E4" t="s">
        <v>55</v>
      </c>
      <c r="F4" s="40"/>
      <c r="G4" s="42">
        <f>Analysis!J3</f>
        <v>79660390.810465187</v>
      </c>
    </row>
    <row r="5" spans="1:7" x14ac:dyDescent="0.2">
      <c r="A5" t="s">
        <v>55</v>
      </c>
      <c r="B5" s="40"/>
      <c r="C5" s="16">
        <f>FV(C2,C3,,-C4)</f>
        <v>57513078.911139838</v>
      </c>
      <c r="E5" t="s">
        <v>52</v>
      </c>
      <c r="F5" s="39"/>
      <c r="G5" s="16">
        <f>-PV(G2,G3,,G4)</f>
        <v>12865597.851077091</v>
      </c>
    </row>
    <row r="6" spans="1:7" x14ac:dyDescent="0.2">
      <c r="B6" s="12"/>
      <c r="C6" s="1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2025-11-04T14:26:22Z</dcterms:modified>
</cp:coreProperties>
</file>