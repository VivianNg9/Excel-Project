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Final Files\"/>
    </mc:Choice>
  </mc:AlternateContent>
  <xr:revisionPtr revIDLastSave="0" documentId="13_ncr:1_{F3992DDD-3E36-45B8-AA68-024E97EB309F}" xr6:coauthVersionLast="47" xr6:coauthVersionMax="47" xr10:uidLastSave="{00000000-0000-0000-0000-000000000000}"/>
  <bookViews>
    <workbookView xWindow="-120" yWindow="-120" windowWidth="25440" windowHeight="15390" xr2:uid="{4FDF45FB-1CFF-4C45-826A-662E4B25C150}"/>
  </bookViews>
  <sheets>
    <sheet name="Analysis" sheetId="1" r:id="rId1"/>
  </sheets>
  <definedNames>
    <definedName name="CostGrowth" comment="The rate at which estimated costs will grow each year.">Analysis!$B$9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2" i="1"/>
  <c r="E40" i="1" s="1"/>
  <c r="N39" i="1"/>
  <c r="M39" i="1"/>
  <c r="L39" i="1"/>
  <c r="K39" i="1"/>
  <c r="J39" i="1"/>
  <c r="I39" i="1"/>
  <c r="H39" i="1"/>
  <c r="G39" i="1"/>
  <c r="F39" i="1"/>
  <c r="E39" i="1"/>
  <c r="F37" i="1"/>
  <c r="F36" i="1" s="1"/>
  <c r="E36" i="1"/>
  <c r="N33" i="1"/>
  <c r="M33" i="1"/>
  <c r="L33" i="1"/>
  <c r="K33" i="1"/>
  <c r="J33" i="1"/>
  <c r="I33" i="1"/>
  <c r="H33" i="1"/>
  <c r="G33" i="1"/>
  <c r="F33" i="1"/>
  <c r="E33" i="1"/>
  <c r="N30" i="1"/>
  <c r="M30" i="1"/>
  <c r="L30" i="1"/>
  <c r="K30" i="1"/>
  <c r="J30" i="1"/>
  <c r="I30" i="1"/>
  <c r="H30" i="1"/>
  <c r="G30" i="1"/>
  <c r="F30" i="1"/>
  <c r="E30" i="1"/>
  <c r="F42" i="1" l="1"/>
  <c r="G37" i="1"/>
  <c r="G36" i="1" l="1"/>
  <c r="H37" i="1"/>
  <c r="F40" i="1"/>
  <c r="G42" i="1"/>
  <c r="I37" i="1" l="1"/>
  <c r="H36" i="1"/>
  <c r="H42" i="1"/>
  <c r="G40" i="1"/>
  <c r="H40" i="1" l="1"/>
  <c r="I42" i="1"/>
  <c r="J37" i="1"/>
  <c r="I36" i="1"/>
  <c r="J36" i="1" l="1"/>
  <c r="K37" i="1"/>
  <c r="I40" i="1"/>
  <c r="J42" i="1"/>
  <c r="K42" i="1" l="1"/>
  <c r="J40" i="1"/>
  <c r="K36" i="1"/>
  <c r="L37" i="1"/>
  <c r="L36" i="1" l="1"/>
  <c r="M37" i="1"/>
  <c r="K40" i="1"/>
  <c r="L42" i="1"/>
  <c r="N37" i="1" l="1"/>
  <c r="N36" i="1" s="1"/>
  <c r="M36" i="1"/>
  <c r="L40" i="1"/>
  <c r="M42" i="1"/>
  <c r="M40" i="1" l="1"/>
  <c r="N42" i="1"/>
  <c r="N40" i="1" s="1"/>
  <c r="B51" i="1" l="1"/>
  <c r="B44" i="1"/>
  <c r="B28" i="1"/>
  <c r="B46" i="1" s="1"/>
  <c r="D21" i="1"/>
  <c r="B53" i="1" l="1"/>
  <c r="L23" i="1"/>
  <c r="M23" i="1"/>
  <c r="N23" i="1"/>
  <c r="K23" i="1"/>
  <c r="J23" i="1"/>
  <c r="I23" i="1"/>
  <c r="H23" i="1"/>
  <c r="G23" i="1"/>
  <c r="F23" i="1"/>
  <c r="E23" i="1"/>
  <c r="E16" i="1"/>
  <c r="F16" i="1" l="1"/>
  <c r="G16" i="1" l="1"/>
  <c r="E21" i="1"/>
  <c r="H16" i="1" l="1"/>
  <c r="E25" i="1"/>
  <c r="I16" i="1" l="1"/>
  <c r="F21" i="1"/>
  <c r="J16" i="1" l="1"/>
  <c r="G21" i="1"/>
  <c r="G25" i="1" s="1"/>
  <c r="F25" i="1"/>
  <c r="K16" i="1" l="1"/>
  <c r="H21" i="1"/>
  <c r="H25" i="1" s="1"/>
  <c r="L16" i="1" l="1"/>
  <c r="I21" i="1"/>
  <c r="I25" i="1" s="1"/>
  <c r="M16" i="1" l="1"/>
  <c r="J21" i="1"/>
  <c r="J25" i="1" s="1"/>
  <c r="N16" i="1" l="1"/>
  <c r="K21" i="1"/>
  <c r="K25" i="1" s="1"/>
  <c r="L21" i="1" l="1"/>
  <c r="L25" i="1" s="1"/>
  <c r="M21" i="1" l="1"/>
  <c r="M25" i="1" s="1"/>
  <c r="N21" i="1"/>
  <c r="N25" i="1" s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<sst xmlns="http://schemas.openxmlformats.org/spreadsheetml/2006/main" count="45" uniqueCount="45">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</sst>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0" fontId="0" fillId="0" borderId="1" xfId="1" applyNumberFormat="1" applyFont="1" applyBorder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2" fillId="3" borderId="0" xfId="0" applyFont="1" applyFill="1"/>
    <xf numFmtId="0" fontId="4" fillId="3" borderId="0" xfId="0" applyFont="1" applyFill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430630</xdr:colOff>
      <xdr:row>0</xdr:row>
      <xdr:rowOff>0</xdr:rowOff>
    </xdr:from>
    <xdr:to>
      <xdr:col>14</xdr:col>
      <xdr:colOff>7620</xdr:colOff>
      <xdr:row>9</xdr:row>
      <xdr:rowOff>152332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81DA1F-14E5-4109-7D5D-BC7731F7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977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57"/>
  <sheetViews>
    <sheetView showGridLines="0" tabSelected="1" zoomScaleNormal="100" workbookViewId="0">
      <selection activeCell="B53" sqref="B53"/>
    </sheetView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4" width="13.28515625" bestFit="1" customWidth="1"/>
    <col min="5" max="5" width="10.7109375" bestFit="1" customWidth="1"/>
    <col min="6" max="6" width="14.7109375" bestFit="1" customWidth="1"/>
    <col min="7" max="7" width="10.42578125" bestFit="1" customWidth="1"/>
    <col min="8" max="8" width="12.140625" customWidth="1"/>
    <col min="9" max="10" width="10.42578125" bestFit="1" customWidth="1"/>
    <col min="11" max="11" width="11.42578125" bestFit="1" customWidth="1"/>
    <col min="12" max="13" width="10.42578125" bestFit="1" customWidth="1"/>
    <col min="14" max="14" width="10.7109375" bestFit="1" customWidth="1"/>
  </cols>
  <sheetData>
    <row r="1" spans="1:14" x14ac:dyDescent="0.25">
      <c r="A1" s="34" t="s">
        <v>18</v>
      </c>
      <c r="B1" s="34"/>
      <c r="D1" s="34" t="s">
        <v>25</v>
      </c>
      <c r="E1" s="34"/>
      <c r="F1" s="34"/>
    </row>
    <row r="2" spans="1:14" x14ac:dyDescent="0.25">
      <c r="A2" t="s">
        <v>12</v>
      </c>
      <c r="B2" s="10" t="s">
        <v>13</v>
      </c>
      <c r="D2" t="s">
        <v>26</v>
      </c>
      <c r="F2" s="33"/>
    </row>
    <row r="3" spans="1:14" x14ac:dyDescent="0.25">
      <c r="A3" s="4" t="s">
        <v>0</v>
      </c>
      <c r="B3" s="11">
        <v>80</v>
      </c>
      <c r="D3" s="4" t="s">
        <v>27</v>
      </c>
      <c r="E3" s="4"/>
      <c r="F3" s="27"/>
      <c r="H3" s="26"/>
    </row>
    <row r="4" spans="1:14" x14ac:dyDescent="0.25">
      <c r="A4" t="s">
        <v>1</v>
      </c>
      <c r="B4" s="10">
        <v>1994</v>
      </c>
      <c r="F4" s="8"/>
    </row>
    <row r="5" spans="1:14" x14ac:dyDescent="0.25">
      <c r="A5" s="4" t="s">
        <v>22</v>
      </c>
      <c r="B5" s="11" t="s">
        <v>23</v>
      </c>
      <c r="D5" s="34" t="s">
        <v>28</v>
      </c>
      <c r="E5" s="34"/>
      <c r="F5" s="34"/>
    </row>
    <row r="6" spans="1:14" x14ac:dyDescent="0.25">
      <c r="A6" t="s">
        <v>41</v>
      </c>
      <c r="B6" s="10" t="s">
        <v>42</v>
      </c>
      <c r="D6" t="s">
        <v>40</v>
      </c>
      <c r="F6" s="32"/>
    </row>
    <row r="7" spans="1:14" x14ac:dyDescent="0.25">
      <c r="D7" s="4" t="s">
        <v>39</v>
      </c>
      <c r="E7" s="4"/>
      <c r="F7" s="27"/>
      <c r="J7" s="31"/>
    </row>
    <row r="8" spans="1:14" x14ac:dyDescent="0.25">
      <c r="A8" s="34" t="s">
        <v>36</v>
      </c>
      <c r="B8" s="34"/>
      <c r="D8" t="s">
        <v>29</v>
      </c>
      <c r="F8" s="33"/>
    </row>
    <row r="9" spans="1:14" x14ac:dyDescent="0.25">
      <c r="A9" s="25" t="s">
        <v>38</v>
      </c>
      <c r="B9" s="8"/>
    </row>
    <row r="10" spans="1:14" x14ac:dyDescent="0.25">
      <c r="A10" s="4" t="s">
        <v>37</v>
      </c>
      <c r="B10" s="27"/>
    </row>
    <row r="14" spans="1:14" x14ac:dyDescent="0.25">
      <c r="A14" s="35" t="s">
        <v>32</v>
      </c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14" x14ac:dyDescent="0.25">
      <c r="D15" s="1"/>
      <c r="E15" s="1"/>
      <c r="F15" s="1"/>
    </row>
    <row r="16" spans="1:14" x14ac:dyDescent="0.25">
      <c r="B16" s="13" t="s">
        <v>35</v>
      </c>
      <c r="C16" s="1"/>
      <c r="D16" s="29">
        <v>0</v>
      </c>
      <c r="E16" s="29">
        <f>D16+1</f>
        <v>1</v>
      </c>
      <c r="F16" s="29">
        <f t="shared" ref="F16:N16" si="0">E16+1</f>
        <v>2</v>
      </c>
      <c r="G16" s="29">
        <f t="shared" si="0"/>
        <v>3</v>
      </c>
      <c r="H16" s="29">
        <f t="shared" si="0"/>
        <v>4</v>
      </c>
      <c r="I16" s="29">
        <f t="shared" si="0"/>
        <v>5</v>
      </c>
      <c r="J16" s="29">
        <f t="shared" si="0"/>
        <v>6</v>
      </c>
      <c r="K16" s="29">
        <f t="shared" si="0"/>
        <v>7</v>
      </c>
      <c r="L16" s="29">
        <f t="shared" si="0"/>
        <v>8</v>
      </c>
      <c r="M16" s="29">
        <f>L16+1</f>
        <v>9</v>
      </c>
      <c r="N16" s="29">
        <f t="shared" si="0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/>
      <c r="G18" s="15"/>
      <c r="H18" s="15"/>
      <c r="I18" s="15"/>
      <c r="J18" s="15"/>
      <c r="K18" s="15"/>
      <c r="L18" s="15"/>
      <c r="M18" s="15"/>
      <c r="N18" s="15"/>
    </row>
    <row r="19" spans="1:15" x14ac:dyDescent="0.25">
      <c r="A19" s="24" t="s">
        <v>2</v>
      </c>
      <c r="B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x14ac:dyDescent="0.25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5">
      <c r="A21" t="s">
        <v>31</v>
      </c>
      <c r="B21" s="16">
        <v>-410784.00000000006</v>
      </c>
      <c r="D21" s="16">
        <f t="shared" ref="D21:N21" si="1">-D18*(1-D23)</f>
        <v>0</v>
      </c>
      <c r="E21" s="16">
        <f t="shared" si="1"/>
        <v>0</v>
      </c>
      <c r="F21" s="16">
        <f t="shared" si="1"/>
        <v>0</v>
      </c>
      <c r="G21" s="16">
        <f t="shared" si="1"/>
        <v>0</v>
      </c>
      <c r="H21" s="16">
        <f t="shared" si="1"/>
        <v>0</v>
      </c>
      <c r="I21" s="16">
        <f t="shared" si="1"/>
        <v>0</v>
      </c>
      <c r="J21" s="16">
        <f t="shared" si="1"/>
        <v>0</v>
      </c>
      <c r="K21" s="16">
        <f t="shared" si="1"/>
        <v>0</v>
      </c>
      <c r="L21" s="16">
        <f t="shared" si="1"/>
        <v>0</v>
      </c>
      <c r="M21" s="16">
        <f t="shared" si="1"/>
        <v>0</v>
      </c>
      <c r="N21" s="16">
        <f t="shared" si="1"/>
        <v>0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30"/>
      <c r="E23" s="30">
        <f t="shared" ref="E23:N23" si="2">E22/Units</f>
        <v>0</v>
      </c>
      <c r="F23" s="30">
        <f t="shared" si="2"/>
        <v>0.75</v>
      </c>
      <c r="G23" s="30">
        <f t="shared" si="2"/>
        <v>0.95</v>
      </c>
      <c r="H23" s="30">
        <f t="shared" si="2"/>
        <v>0.95</v>
      </c>
      <c r="I23" s="30">
        <f t="shared" si="2"/>
        <v>0.95</v>
      </c>
      <c r="J23" s="30">
        <f t="shared" si="2"/>
        <v>0.95</v>
      </c>
      <c r="K23" s="30">
        <f t="shared" si="2"/>
        <v>0.95</v>
      </c>
      <c r="L23" s="30">
        <f t="shared" si="2"/>
        <v>0.95</v>
      </c>
      <c r="M23" s="30">
        <f t="shared" si="2"/>
        <v>0.95</v>
      </c>
      <c r="N23" s="30">
        <f t="shared" si="2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3">SUM(E21,E18)*E26</f>
        <v>0</v>
      </c>
      <c r="F25" s="17">
        <f t="shared" si="3"/>
        <v>0</v>
      </c>
      <c r="G25" s="17">
        <f t="shared" si="3"/>
        <v>0</v>
      </c>
      <c r="H25" s="17">
        <f t="shared" si="3"/>
        <v>0</v>
      </c>
      <c r="I25" s="17">
        <f t="shared" si="3"/>
        <v>0</v>
      </c>
      <c r="J25" s="17">
        <f t="shared" si="3"/>
        <v>0</v>
      </c>
      <c r="K25" s="17">
        <f t="shared" si="3"/>
        <v>0</v>
      </c>
      <c r="L25" s="17">
        <f t="shared" si="3"/>
        <v>0</v>
      </c>
      <c r="M25" s="17">
        <f t="shared" si="3"/>
        <v>0</v>
      </c>
      <c r="N25" s="17">
        <f t="shared" si="3"/>
        <v>0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4">SUM(F18+F21)*F31</f>
        <v>0</v>
      </c>
      <c r="G30" s="19">
        <f t="shared" si="4"/>
        <v>0</v>
      </c>
      <c r="H30" s="19">
        <f t="shared" si="4"/>
        <v>0</v>
      </c>
      <c r="I30" s="19">
        <f t="shared" si="4"/>
        <v>0</v>
      </c>
      <c r="J30" s="19">
        <f t="shared" si="4"/>
        <v>0</v>
      </c>
      <c r="K30" s="19">
        <f t="shared" si="4"/>
        <v>0</v>
      </c>
      <c r="L30" s="19">
        <f t="shared" si="4"/>
        <v>0</v>
      </c>
      <c r="M30" s="19">
        <f t="shared" si="4"/>
        <v>0</v>
      </c>
      <c r="N30" s="19">
        <f t="shared" si="4"/>
        <v>0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5">SUM(E$18+E$21)*E34</f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19">
        <f t="shared" si="5"/>
        <v>0</v>
      </c>
      <c r="M33" s="19">
        <f t="shared" si="5"/>
        <v>0</v>
      </c>
      <c r="N33" s="19">
        <f t="shared" si="5"/>
        <v>0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6">(Units-E22)*E37</f>
        <v>24000</v>
      </c>
      <c r="F36" s="19">
        <f t="shared" si="6"/>
        <v>6000</v>
      </c>
      <c r="G36" s="19">
        <f t="shared" si="6"/>
        <v>1200</v>
      </c>
      <c r="H36" s="19">
        <f t="shared" si="6"/>
        <v>1200</v>
      </c>
      <c r="I36" s="19">
        <f t="shared" si="6"/>
        <v>1200</v>
      </c>
      <c r="J36" s="19">
        <f t="shared" si="6"/>
        <v>1200</v>
      </c>
      <c r="K36" s="19">
        <f t="shared" si="6"/>
        <v>1200</v>
      </c>
      <c r="L36" s="19">
        <f t="shared" si="6"/>
        <v>1200</v>
      </c>
      <c r="M36" s="19">
        <f t="shared" si="6"/>
        <v>1200</v>
      </c>
      <c r="N36" s="19">
        <f t="shared" si="6"/>
        <v>1200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7">E37*(1+CostGrowth)</f>
        <v>300</v>
      </c>
      <c r="G37" s="5">
        <f t="shared" si="7"/>
        <v>300</v>
      </c>
      <c r="H37" s="5">
        <f t="shared" si="7"/>
        <v>300</v>
      </c>
      <c r="I37" s="5">
        <f t="shared" si="7"/>
        <v>300</v>
      </c>
      <c r="J37" s="5">
        <f t="shared" si="7"/>
        <v>300</v>
      </c>
      <c r="K37" s="5">
        <f t="shared" si="7"/>
        <v>300</v>
      </c>
      <c r="L37" s="5">
        <f t="shared" si="7"/>
        <v>300</v>
      </c>
      <c r="M37" s="5">
        <f t="shared" si="7"/>
        <v>300</v>
      </c>
      <c r="N37" s="5">
        <f t="shared" si="7"/>
        <v>300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8">$B$39*(1+CostGrowth^E16)</f>
        <v>-212582</v>
      </c>
      <c r="F39" s="19">
        <f t="shared" si="8"/>
        <v>-212582</v>
      </c>
      <c r="G39" s="19">
        <f t="shared" si="8"/>
        <v>-212582</v>
      </c>
      <c r="H39" s="19">
        <f t="shared" si="8"/>
        <v>-212582</v>
      </c>
      <c r="I39" s="19">
        <f t="shared" si="8"/>
        <v>-212582</v>
      </c>
      <c r="J39" s="19">
        <f t="shared" si="8"/>
        <v>-212582</v>
      </c>
      <c r="K39" s="19">
        <f t="shared" si="8"/>
        <v>-212582</v>
      </c>
      <c r="L39" s="19">
        <f t="shared" si="8"/>
        <v>-212582</v>
      </c>
      <c r="M39" s="19">
        <f t="shared" si="8"/>
        <v>-212582</v>
      </c>
      <c r="N39" s="19">
        <f t="shared" si="8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>-E41*E42</f>
        <v>0</v>
      </c>
      <c r="F40" s="19">
        <f t="shared" ref="F40:N40" si="9">-F41*F42</f>
        <v>0</v>
      </c>
      <c r="G40" s="19">
        <f t="shared" si="9"/>
        <v>0</v>
      </c>
      <c r="H40" s="19">
        <f t="shared" si="9"/>
        <v>0</v>
      </c>
      <c r="I40" s="19">
        <f t="shared" si="9"/>
        <v>0</v>
      </c>
      <c r="J40" s="19">
        <f t="shared" si="9"/>
        <v>0</v>
      </c>
      <c r="K40" s="19">
        <f t="shared" si="9"/>
        <v>0</v>
      </c>
      <c r="L40" s="19">
        <f t="shared" si="9"/>
        <v>0</v>
      </c>
      <c r="M40" s="19">
        <f t="shared" si="9"/>
        <v>0</v>
      </c>
      <c r="N40" s="19">
        <f t="shared" si="9"/>
        <v>0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0</v>
      </c>
      <c r="F42" s="5">
        <f t="shared" ref="F42:N42" si="10">E42*(1+CostGrowth)</f>
        <v>0</v>
      </c>
      <c r="G42" s="5">
        <f t="shared" si="10"/>
        <v>0</v>
      </c>
      <c r="H42" s="5">
        <f t="shared" si="10"/>
        <v>0</v>
      </c>
      <c r="I42" s="5">
        <f t="shared" si="10"/>
        <v>0</v>
      </c>
      <c r="J42" s="5">
        <f t="shared" si="10"/>
        <v>0</v>
      </c>
      <c r="K42" s="5">
        <f t="shared" si="10"/>
        <v>0</v>
      </c>
      <c r="L42" s="5">
        <f t="shared" si="10"/>
        <v>0</v>
      </c>
      <c r="M42" s="5">
        <f t="shared" si="10"/>
        <v>0</v>
      </c>
      <c r="N42" s="5">
        <f t="shared" si="10"/>
        <v>0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</row>
    <row r="49" spans="1:14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5">
      <c r="A51" s="3" t="s">
        <v>11</v>
      </c>
      <c r="B51" s="18">
        <f>SUM(B48:B49)</f>
        <v>-21182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3" t="s">
        <v>21</v>
      </c>
      <c r="B53" s="18">
        <f>SUM(B46,B51)</f>
        <v>416139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7" spans="1:14" x14ac:dyDescent="0.25">
      <c r="B57" s="9"/>
      <c r="N5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Analysis</vt:lpstr>
      <vt:lpstr>CostGrowth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2023-12-21T15:57:17Z</dcterms:modified>
</cp:coreProperties>
</file>