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advanced Excel Mq/"/>
    </mc:Choice>
  </mc:AlternateContent>
  <xr:revisionPtr revIDLastSave="0" documentId="13_ncr:1_{D5636CC5-46AB-A641-8C41-CD50F28EDEE1}" xr6:coauthVersionLast="47" xr6:coauthVersionMax="47" xr10:uidLastSave="{00000000-0000-0000-0000-000000000000}"/>
  <bookViews>
    <workbookView xWindow="0" yWindow="740" windowWidth="10460" windowHeight="18900" firstSheet="1" activeTab="1" xr2:uid="{00000000-000D-0000-FFFF-FFFF00000000}"/>
  </bookViews>
  <sheets>
    <sheet name="Introduction" sheetId="6" r:id="rId1"/>
    <sheet name="Part1" sheetId="13" r:id="rId2"/>
    <sheet name="2012" sheetId="14" r:id="rId3"/>
    <sheet name="2013" sheetId="15" r:id="rId4"/>
    <sheet name="2014" sheetId="16" r:id="rId5"/>
    <sheet name="2015" sheetId="17" r:id="rId6"/>
    <sheet name="2016" sheetId="18" r:id="rId7"/>
    <sheet name="Part2" sheetId="19" r:id="rId8"/>
  </sheets>
  <definedNames>
    <definedName name="Check1">IFERROR(INT(SQRT(PRODUCT(5+2*MOD(MMULT(LiveTable,TRANSPOSE(LiveTable)),1)))),0)</definedName>
    <definedName name="Check2">INT(SUM(ROW(Part1!$B$21:$B$30)*CODE(Part1!$B$21:$B$30))*PRODUCT(Part1!$J$14:$J$16))</definedName>
    <definedName name="Currency_List">Part1!$B$21:$B$30</definedName>
    <definedName name="Digit">MOD(MATCH(Part1!$J$20,Currency_List,0)^3,10)+1</definedName>
    <definedName name="LiveTable">Part1!$J$23:$M$25</definedName>
    <definedName name="Month_List">Part1!$D$5:$D$16</definedName>
    <definedName name="Rates_2012">'2012'!$B$2:$K$13</definedName>
    <definedName name="Rates_2013">'2013'!$B$2:$K$13</definedName>
    <definedName name="Rates_2014">'2014'!$B$2:$K$13</definedName>
    <definedName name="Rates_2015">'2015'!$B$2:$K$13</definedName>
    <definedName name="Rates_2016">'2016'!$B$2:$K$13</definedName>
    <definedName name="Year_List">Part1!$B$36:$B$40</definedName>
  </definedNames>
  <calcPr calcId="191029" concurrentCalc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9" l="1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7" i="19"/>
  <c r="Q6" i="19"/>
  <c r="Q5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6" i="19"/>
  <c r="P7" i="19"/>
  <c r="P5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8" i="19"/>
  <c r="O7" i="19"/>
  <c r="O6" i="19"/>
  <c r="O5" i="19"/>
  <c r="J5" i="19"/>
  <c r="J62" i="19"/>
  <c r="J60" i="19"/>
  <c r="J59" i="19"/>
  <c r="N5" i="19"/>
  <c r="N6" i="19"/>
  <c r="N7" i="19"/>
  <c r="N8" i="19"/>
  <c r="L20" i="13"/>
  <c r="I23" i="13"/>
  <c r="I24" i="13"/>
  <c r="J22" i="13"/>
  <c r="K22" i="13"/>
  <c r="K24" i="13" a="1"/>
  <c r="K24" i="13"/>
  <c r="L22" i="13"/>
  <c r="L24" i="13" a="1"/>
  <c r="L24" i="13"/>
  <c r="M22" i="13"/>
  <c r="M24" i="13" a="1"/>
  <c r="M24" i="13"/>
  <c r="J24" i="13" a="1"/>
  <c r="J24" i="13"/>
  <c r="K23" i="13" a="1"/>
  <c r="K23" i="13"/>
  <c r="L23" i="13" a="1"/>
  <c r="L23" i="13"/>
  <c r="M23" i="13" a="1"/>
  <c r="M23" i="13"/>
  <c r="J23" i="13" a="1"/>
  <c r="J23" i="13"/>
  <c r="J14" i="13" a="1"/>
  <c r="J14" i="13"/>
  <c r="J15" i="13" a="1"/>
  <c r="J15" i="13"/>
  <c r="J16" i="13" a="1"/>
  <c r="J16" i="13"/>
  <c r="J17" i="13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T9" i="19"/>
  <c r="T10" i="19"/>
  <c r="T7" i="19"/>
  <c r="L5" i="19"/>
  <c r="F508" i="19"/>
  <c r="G508" i="19" a="1"/>
  <c r="G508" i="19"/>
  <c r="F256" i="19"/>
  <c r="G256" i="19" a="1"/>
  <c r="F5" i="19"/>
  <c r="G5" i="19" a="1"/>
  <c r="F6" i="19"/>
  <c r="G6" i="19" a="1"/>
  <c r="F7" i="19"/>
  <c r="G7" i="19" a="1"/>
  <c r="F8" i="19"/>
  <c r="G8" i="19" a="1"/>
  <c r="F9" i="19"/>
  <c r="G9" i="19" a="1"/>
  <c r="F10" i="19"/>
  <c r="G10" i="19" a="1"/>
  <c r="F11" i="19"/>
  <c r="G11" i="19" a="1"/>
  <c r="F12" i="19"/>
  <c r="G12" i="19" a="1"/>
  <c r="F13" i="19"/>
  <c r="G13" i="19" a="1"/>
  <c r="F14" i="19"/>
  <c r="G14" i="19" a="1"/>
  <c r="F15" i="19"/>
  <c r="G15" i="19" a="1"/>
  <c r="F16" i="19"/>
  <c r="G16" i="19" a="1"/>
  <c r="F17" i="19"/>
  <c r="G17" i="19" a="1"/>
  <c r="F18" i="19"/>
  <c r="G18" i="19" a="1"/>
  <c r="F19" i="19"/>
  <c r="G19" i="19" a="1"/>
  <c r="F20" i="19"/>
  <c r="G20" i="19" a="1"/>
  <c r="F21" i="19"/>
  <c r="G21" i="19" a="1"/>
  <c r="F22" i="19"/>
  <c r="G22" i="19" a="1"/>
  <c r="F23" i="19"/>
  <c r="G23" i="19" a="1"/>
  <c r="F24" i="19"/>
  <c r="G24" i="19" a="1"/>
  <c r="F25" i="19"/>
  <c r="G25" i="19" a="1"/>
  <c r="F26" i="19"/>
  <c r="G26" i="19" a="1"/>
  <c r="F27" i="19"/>
  <c r="G27" i="19" a="1"/>
  <c r="F28" i="19"/>
  <c r="G28" i="19" a="1"/>
  <c r="F29" i="19"/>
  <c r="G29" i="19" a="1"/>
  <c r="F30" i="19"/>
  <c r="G30" i="19" a="1"/>
  <c r="F31" i="19"/>
  <c r="G31" i="19" a="1"/>
  <c r="F32" i="19"/>
  <c r="G32" i="19" a="1"/>
  <c r="F33" i="19"/>
  <c r="G33" i="19" a="1"/>
  <c r="F34" i="19"/>
  <c r="G34" i="19" a="1"/>
  <c r="F35" i="19"/>
  <c r="G35" i="19" a="1"/>
  <c r="F36" i="19"/>
  <c r="G36" i="19" a="1"/>
  <c r="F37" i="19"/>
  <c r="G37" i="19" a="1"/>
  <c r="F38" i="19"/>
  <c r="G38" i="19" a="1"/>
  <c r="F39" i="19"/>
  <c r="G39" i="19" a="1"/>
  <c r="F40" i="19"/>
  <c r="G40" i="19" a="1"/>
  <c r="F41" i="19"/>
  <c r="G41" i="19" a="1"/>
  <c r="F42" i="19"/>
  <c r="G42" i="19" a="1"/>
  <c r="F43" i="19"/>
  <c r="G43" i="19" a="1"/>
  <c r="F44" i="19"/>
  <c r="G44" i="19" a="1"/>
  <c r="F45" i="19"/>
  <c r="G45" i="19" a="1"/>
  <c r="F46" i="19"/>
  <c r="G46" i="19" a="1"/>
  <c r="F47" i="19"/>
  <c r="G47" i="19" a="1"/>
  <c r="F48" i="19"/>
  <c r="G48" i="19" a="1"/>
  <c r="F49" i="19"/>
  <c r="G49" i="19" a="1"/>
  <c r="F50" i="19"/>
  <c r="G50" i="19" a="1"/>
  <c r="F51" i="19"/>
  <c r="G51" i="19" a="1"/>
  <c r="F52" i="19"/>
  <c r="G52" i="19" a="1"/>
  <c r="F53" i="19"/>
  <c r="G53" i="19" a="1"/>
  <c r="F54" i="19"/>
  <c r="G54" i="19" a="1"/>
  <c r="F55" i="19"/>
  <c r="G55" i="19" a="1"/>
  <c r="F56" i="19"/>
  <c r="G56" i="19" a="1"/>
  <c r="F57" i="19"/>
  <c r="G57" i="19" a="1"/>
  <c r="F58" i="19"/>
  <c r="G58" i="19" a="1"/>
  <c r="F59" i="19"/>
  <c r="G59" i="19" a="1"/>
  <c r="F60" i="19"/>
  <c r="G60" i="19" a="1"/>
  <c r="F61" i="19"/>
  <c r="G61" i="19" a="1"/>
  <c r="F62" i="19"/>
  <c r="G62" i="19" a="1"/>
  <c r="F63" i="19"/>
  <c r="G63" i="19" a="1"/>
  <c r="F64" i="19"/>
  <c r="G64" i="19" a="1"/>
  <c r="F65" i="19"/>
  <c r="G65" i="19" a="1"/>
  <c r="F66" i="19"/>
  <c r="G66" i="19" a="1"/>
  <c r="F67" i="19"/>
  <c r="G67" i="19" a="1"/>
  <c r="F68" i="19"/>
  <c r="G68" i="19" a="1"/>
  <c r="F69" i="19"/>
  <c r="G69" i="19" a="1"/>
  <c r="F70" i="19"/>
  <c r="G70" i="19" a="1"/>
  <c r="F71" i="19"/>
  <c r="G71" i="19" a="1"/>
  <c r="F72" i="19"/>
  <c r="G72" i="19" a="1"/>
  <c r="F73" i="19"/>
  <c r="G73" i="19" a="1"/>
  <c r="F74" i="19"/>
  <c r="G74" i="19" a="1"/>
  <c r="F75" i="19"/>
  <c r="G75" i="19" a="1"/>
  <c r="F76" i="19"/>
  <c r="G76" i="19" a="1"/>
  <c r="F77" i="19"/>
  <c r="G77" i="19" a="1"/>
  <c r="F78" i="19"/>
  <c r="G78" i="19" a="1"/>
  <c r="F79" i="19"/>
  <c r="G79" i="19" a="1"/>
  <c r="F80" i="19"/>
  <c r="G80" i="19" a="1"/>
  <c r="F81" i="19"/>
  <c r="G81" i="19" a="1"/>
  <c r="F82" i="19"/>
  <c r="G82" i="19" a="1"/>
  <c r="F83" i="19"/>
  <c r="G83" i="19" a="1"/>
  <c r="F84" i="19"/>
  <c r="G84" i="19" a="1"/>
  <c r="F85" i="19"/>
  <c r="G85" i="19" a="1"/>
  <c r="F86" i="19"/>
  <c r="G86" i="19" a="1"/>
  <c r="F87" i="19"/>
  <c r="G87" i="19" a="1"/>
  <c r="F88" i="19"/>
  <c r="G88" i="19" a="1"/>
  <c r="F89" i="19"/>
  <c r="G89" i="19" a="1"/>
  <c r="F90" i="19"/>
  <c r="G90" i="19" a="1"/>
  <c r="F91" i="19"/>
  <c r="G91" i="19" a="1"/>
  <c r="F92" i="19"/>
  <c r="G92" i="19" a="1"/>
  <c r="F93" i="19"/>
  <c r="G93" i="19" a="1"/>
  <c r="F94" i="19"/>
  <c r="G94" i="19" a="1"/>
  <c r="F95" i="19"/>
  <c r="G95" i="19" a="1"/>
  <c r="F96" i="19"/>
  <c r="G96" i="19" a="1"/>
  <c r="F97" i="19"/>
  <c r="G97" i="19" a="1"/>
  <c r="F98" i="19"/>
  <c r="G98" i="19" a="1"/>
  <c r="F99" i="19"/>
  <c r="G99" i="19" a="1"/>
  <c r="F100" i="19"/>
  <c r="G100" i="19" a="1"/>
  <c r="F101" i="19"/>
  <c r="G101" i="19" a="1"/>
  <c r="F102" i="19"/>
  <c r="G102" i="19" a="1"/>
  <c r="F103" i="19"/>
  <c r="G103" i="19" a="1"/>
  <c r="F104" i="19"/>
  <c r="G104" i="19" a="1"/>
  <c r="F105" i="19"/>
  <c r="G105" i="19" a="1"/>
  <c r="F106" i="19"/>
  <c r="G106" i="19" a="1"/>
  <c r="F107" i="19"/>
  <c r="G107" i="19" a="1"/>
  <c r="F108" i="19"/>
  <c r="G108" i="19" a="1"/>
  <c r="F109" i="19"/>
  <c r="G109" i="19" a="1"/>
  <c r="F110" i="19"/>
  <c r="G110" i="19" a="1"/>
  <c r="F111" i="19"/>
  <c r="G111" i="19" a="1"/>
  <c r="F112" i="19"/>
  <c r="G112" i="19" a="1"/>
  <c r="F113" i="19"/>
  <c r="G113" i="19" a="1"/>
  <c r="F114" i="19"/>
  <c r="G114" i="19" a="1"/>
  <c r="F115" i="19"/>
  <c r="G115" i="19" a="1"/>
  <c r="F116" i="19"/>
  <c r="G116" i="19" a="1"/>
  <c r="F117" i="19"/>
  <c r="G117" i="19" a="1"/>
  <c r="F118" i="19"/>
  <c r="G118" i="19" a="1"/>
  <c r="F119" i="19"/>
  <c r="G119" i="19" a="1"/>
  <c r="F120" i="19"/>
  <c r="G120" i="19" a="1"/>
  <c r="F121" i="19"/>
  <c r="G121" i="19" a="1"/>
  <c r="F122" i="19"/>
  <c r="G122" i="19" a="1"/>
  <c r="F123" i="19"/>
  <c r="G123" i="19" a="1"/>
  <c r="F124" i="19"/>
  <c r="G124" i="19" a="1"/>
  <c r="F125" i="19"/>
  <c r="G125" i="19" a="1"/>
  <c r="F126" i="19"/>
  <c r="G126" i="19" a="1"/>
  <c r="F127" i="19"/>
  <c r="G127" i="19" a="1"/>
  <c r="F128" i="19"/>
  <c r="G128" i="19" a="1"/>
  <c r="F129" i="19"/>
  <c r="G129" i="19" a="1"/>
  <c r="F130" i="19"/>
  <c r="G130" i="19" a="1"/>
  <c r="F131" i="19"/>
  <c r="G131" i="19" a="1"/>
  <c r="F132" i="19"/>
  <c r="G132" i="19" a="1"/>
  <c r="F133" i="19"/>
  <c r="G133" i="19" a="1"/>
  <c r="F134" i="19"/>
  <c r="G134" i="19" a="1"/>
  <c r="F135" i="19"/>
  <c r="G135" i="19" a="1"/>
  <c r="F136" i="19"/>
  <c r="G136" i="19" a="1"/>
  <c r="F137" i="19"/>
  <c r="G137" i="19" a="1"/>
  <c r="F138" i="19"/>
  <c r="G138" i="19" a="1"/>
  <c r="F139" i="19"/>
  <c r="G139" i="19" a="1"/>
  <c r="F140" i="19"/>
  <c r="G140" i="19" a="1"/>
  <c r="F141" i="19"/>
  <c r="G141" i="19" a="1"/>
  <c r="F142" i="19"/>
  <c r="G142" i="19" a="1"/>
  <c r="F143" i="19"/>
  <c r="G143" i="19" a="1"/>
  <c r="F144" i="19"/>
  <c r="G144" i="19" a="1"/>
  <c r="F145" i="19"/>
  <c r="G145" i="19" a="1"/>
  <c r="F146" i="19"/>
  <c r="G146" i="19" a="1"/>
  <c r="F147" i="19"/>
  <c r="G147" i="19" a="1"/>
  <c r="F148" i="19"/>
  <c r="G148" i="19" a="1"/>
  <c r="F149" i="19"/>
  <c r="G149" i="19" a="1"/>
  <c r="F150" i="19"/>
  <c r="G150" i="19" a="1"/>
  <c r="F151" i="19"/>
  <c r="G151" i="19" a="1"/>
  <c r="F152" i="19"/>
  <c r="G152" i="19" a="1"/>
  <c r="F153" i="19"/>
  <c r="G153" i="19" a="1"/>
  <c r="F154" i="19"/>
  <c r="G154" i="19" a="1"/>
  <c r="F155" i="19"/>
  <c r="G155" i="19" a="1"/>
  <c r="F156" i="19"/>
  <c r="G156" i="19" a="1"/>
  <c r="F157" i="19"/>
  <c r="G157" i="19" a="1"/>
  <c r="F158" i="19"/>
  <c r="G158" i="19" a="1"/>
  <c r="F159" i="19"/>
  <c r="G159" i="19" a="1"/>
  <c r="F160" i="19"/>
  <c r="G160" i="19" a="1"/>
  <c r="F161" i="19"/>
  <c r="G161" i="19" a="1"/>
  <c r="F162" i="19"/>
  <c r="G162" i="19" a="1"/>
  <c r="F163" i="19"/>
  <c r="G163" i="19" a="1"/>
  <c r="F164" i="19"/>
  <c r="G164" i="19" a="1"/>
  <c r="F165" i="19"/>
  <c r="G165" i="19" a="1"/>
  <c r="F166" i="19"/>
  <c r="G166" i="19" a="1"/>
  <c r="F167" i="19"/>
  <c r="G167" i="19" a="1"/>
  <c r="F168" i="19"/>
  <c r="G168" i="19" a="1"/>
  <c r="F169" i="19"/>
  <c r="G169" i="19" a="1"/>
  <c r="F170" i="19"/>
  <c r="G170" i="19" a="1"/>
  <c r="F171" i="19"/>
  <c r="G171" i="19" a="1"/>
  <c r="F172" i="19"/>
  <c r="G172" i="19" a="1"/>
  <c r="F173" i="19"/>
  <c r="G173" i="19" a="1"/>
  <c r="F174" i="19"/>
  <c r="G174" i="19" a="1"/>
  <c r="F175" i="19"/>
  <c r="G175" i="19" a="1"/>
  <c r="F176" i="19"/>
  <c r="G176" i="19" a="1"/>
  <c r="F177" i="19"/>
  <c r="G177" i="19" a="1"/>
  <c r="F178" i="19"/>
  <c r="G178" i="19" a="1"/>
  <c r="F179" i="19"/>
  <c r="G179" i="19" a="1"/>
  <c r="F180" i="19"/>
  <c r="G180" i="19" a="1"/>
  <c r="F181" i="19"/>
  <c r="G181" i="19" a="1"/>
  <c r="F182" i="19"/>
  <c r="G182" i="19" a="1"/>
  <c r="F183" i="19"/>
  <c r="G183" i="19" a="1"/>
  <c r="F184" i="19"/>
  <c r="G184" i="19" a="1"/>
  <c r="F185" i="19"/>
  <c r="G185" i="19" a="1"/>
  <c r="F186" i="19"/>
  <c r="G186" i="19" a="1"/>
  <c r="F187" i="19"/>
  <c r="G187" i="19" a="1"/>
  <c r="F188" i="19"/>
  <c r="G188" i="19" a="1"/>
  <c r="F189" i="19"/>
  <c r="G189" i="19" a="1"/>
  <c r="F190" i="19"/>
  <c r="G190" i="19" a="1"/>
  <c r="F191" i="19"/>
  <c r="G191" i="19" a="1"/>
  <c r="F192" i="19"/>
  <c r="G192" i="19" a="1"/>
  <c r="F193" i="19"/>
  <c r="G193" i="19" a="1"/>
  <c r="F194" i="19"/>
  <c r="G194" i="19" a="1"/>
  <c r="F195" i="19"/>
  <c r="G195" i="19" a="1"/>
  <c r="F196" i="19"/>
  <c r="G196" i="19" a="1"/>
  <c r="F197" i="19"/>
  <c r="G197" i="19" a="1"/>
  <c r="F198" i="19"/>
  <c r="G198" i="19" a="1"/>
  <c r="F199" i="19"/>
  <c r="G199" i="19" a="1"/>
  <c r="F200" i="19"/>
  <c r="G200" i="19" a="1"/>
  <c r="F201" i="19"/>
  <c r="G201" i="19" a="1"/>
  <c r="F202" i="19"/>
  <c r="G202" i="19" a="1"/>
  <c r="F203" i="19"/>
  <c r="G203" i="19" a="1"/>
  <c r="F204" i="19"/>
  <c r="G204" i="19" a="1"/>
  <c r="F205" i="19"/>
  <c r="G205" i="19" a="1"/>
  <c r="F206" i="19"/>
  <c r="G206" i="19" a="1"/>
  <c r="F207" i="19"/>
  <c r="G207" i="19" a="1"/>
  <c r="F208" i="19"/>
  <c r="G208" i="19" a="1"/>
  <c r="F209" i="19"/>
  <c r="G209" i="19" a="1"/>
  <c r="F210" i="19"/>
  <c r="G210" i="19" a="1"/>
  <c r="F211" i="19"/>
  <c r="G211" i="19" a="1"/>
  <c r="F212" i="19"/>
  <c r="G212" i="19" a="1"/>
  <c r="F213" i="19"/>
  <c r="G213" i="19" a="1"/>
  <c r="F214" i="19"/>
  <c r="G214" i="19" a="1"/>
  <c r="F215" i="19"/>
  <c r="G215" i="19" a="1"/>
  <c r="F216" i="19"/>
  <c r="G216" i="19" a="1"/>
  <c r="F217" i="19"/>
  <c r="G217" i="19" a="1"/>
  <c r="F218" i="19"/>
  <c r="G218" i="19" a="1"/>
  <c r="F219" i="19"/>
  <c r="G219" i="19" a="1"/>
  <c r="F220" i="19"/>
  <c r="G220" i="19" a="1"/>
  <c r="F221" i="19"/>
  <c r="G221" i="19" a="1"/>
  <c r="F222" i="19"/>
  <c r="G222" i="19" a="1"/>
  <c r="F223" i="19"/>
  <c r="G223" i="19" a="1"/>
  <c r="F224" i="19"/>
  <c r="G224" i="19" a="1"/>
  <c r="F225" i="19"/>
  <c r="G225" i="19" a="1"/>
  <c r="F226" i="19"/>
  <c r="G226" i="19" a="1"/>
  <c r="F227" i="19"/>
  <c r="G227" i="19" a="1"/>
  <c r="F228" i="19"/>
  <c r="G228" i="19" a="1"/>
  <c r="F229" i="19"/>
  <c r="G229" i="19" a="1"/>
  <c r="F230" i="19"/>
  <c r="G230" i="19" a="1"/>
  <c r="F231" i="19"/>
  <c r="G231" i="19" a="1"/>
  <c r="F232" i="19"/>
  <c r="G232" i="19" a="1"/>
  <c r="F233" i="19"/>
  <c r="G233" i="19" a="1"/>
  <c r="F234" i="19"/>
  <c r="G234" i="19" a="1"/>
  <c r="F235" i="19"/>
  <c r="G235" i="19" a="1"/>
  <c r="F236" i="19"/>
  <c r="G236" i="19" a="1"/>
  <c r="F237" i="19"/>
  <c r="G237" i="19" a="1"/>
  <c r="F238" i="19"/>
  <c r="G238" i="19" a="1"/>
  <c r="F239" i="19"/>
  <c r="G239" i="19" a="1"/>
  <c r="F240" i="19"/>
  <c r="G240" i="19" a="1"/>
  <c r="F241" i="19"/>
  <c r="G241" i="19" a="1"/>
  <c r="F242" i="19"/>
  <c r="G242" i="19" a="1"/>
  <c r="F243" i="19"/>
  <c r="G243" i="19" a="1"/>
  <c r="F244" i="19"/>
  <c r="G244" i="19" a="1"/>
  <c r="F245" i="19"/>
  <c r="G245" i="19" a="1"/>
  <c r="F246" i="19"/>
  <c r="G246" i="19" a="1"/>
  <c r="F247" i="19"/>
  <c r="G247" i="19" a="1"/>
  <c r="F248" i="19"/>
  <c r="G248" i="19" a="1"/>
  <c r="F249" i="19"/>
  <c r="G249" i="19" a="1"/>
  <c r="F250" i="19"/>
  <c r="G250" i="19" a="1"/>
  <c r="F251" i="19"/>
  <c r="G251" i="19" a="1"/>
  <c r="F252" i="19"/>
  <c r="G252" i="19" a="1"/>
  <c r="F253" i="19"/>
  <c r="G253" i="19" a="1"/>
  <c r="F254" i="19"/>
  <c r="G254" i="19" a="1"/>
  <c r="F255" i="19"/>
  <c r="G255" i="19" a="1"/>
  <c r="G256" i="19"/>
  <c r="F257" i="19"/>
  <c r="G257" i="19" a="1"/>
  <c r="F258" i="19"/>
  <c r="G258" i="19" a="1"/>
  <c r="F259" i="19"/>
  <c r="G259" i="19" a="1"/>
  <c r="F260" i="19"/>
  <c r="G260" i="19" a="1"/>
  <c r="F261" i="19"/>
  <c r="G261" i="19" a="1"/>
  <c r="F262" i="19"/>
  <c r="G262" i="19" a="1"/>
  <c r="F263" i="19"/>
  <c r="G263" i="19" a="1"/>
  <c r="F264" i="19"/>
  <c r="G264" i="19" a="1"/>
  <c r="F265" i="19"/>
  <c r="G265" i="19" a="1"/>
  <c r="F266" i="19"/>
  <c r="G266" i="19" a="1"/>
  <c r="F267" i="19"/>
  <c r="G267" i="19" a="1"/>
  <c r="F268" i="19"/>
  <c r="G268" i="19" a="1"/>
  <c r="F269" i="19"/>
  <c r="G269" i="19" a="1"/>
  <c r="F270" i="19"/>
  <c r="G270" i="19" a="1"/>
  <c r="F271" i="19"/>
  <c r="G271" i="19" a="1"/>
  <c r="F272" i="19"/>
  <c r="G272" i="19" a="1"/>
  <c r="F273" i="19"/>
  <c r="G273" i="19" a="1"/>
  <c r="F274" i="19"/>
  <c r="G274" i="19" a="1"/>
  <c r="F275" i="19"/>
  <c r="G275" i="19" a="1"/>
  <c r="F276" i="19"/>
  <c r="G276" i="19" a="1"/>
  <c r="F277" i="19"/>
  <c r="G277" i="19" a="1"/>
  <c r="F278" i="19"/>
  <c r="G278" i="19" a="1"/>
  <c r="F279" i="19"/>
  <c r="G279" i="19" a="1"/>
  <c r="F280" i="19"/>
  <c r="G280" i="19" a="1"/>
  <c r="F281" i="19"/>
  <c r="G281" i="19" a="1"/>
  <c r="F282" i="19"/>
  <c r="G282" i="19" a="1"/>
  <c r="F283" i="19"/>
  <c r="G283" i="19" a="1"/>
  <c r="F284" i="19"/>
  <c r="G284" i="19" a="1"/>
  <c r="F285" i="19"/>
  <c r="G285" i="19" a="1"/>
  <c r="F286" i="19"/>
  <c r="G286" i="19" a="1"/>
  <c r="F287" i="19"/>
  <c r="G287" i="19" a="1"/>
  <c r="F288" i="19"/>
  <c r="G288" i="19" a="1"/>
  <c r="F289" i="19"/>
  <c r="G289" i="19" a="1"/>
  <c r="F290" i="19"/>
  <c r="G290" i="19" a="1"/>
  <c r="F291" i="19"/>
  <c r="G291" i="19" a="1"/>
  <c r="F292" i="19"/>
  <c r="G292" i="19" a="1"/>
  <c r="F293" i="19"/>
  <c r="G293" i="19" a="1"/>
  <c r="F294" i="19"/>
  <c r="G294" i="19" a="1"/>
  <c r="F295" i="19"/>
  <c r="G295" i="19" a="1"/>
  <c r="F296" i="19"/>
  <c r="G296" i="19" a="1"/>
  <c r="F297" i="19"/>
  <c r="G297" i="19" a="1"/>
  <c r="F298" i="19"/>
  <c r="G298" i="19" a="1"/>
  <c r="F299" i="19"/>
  <c r="G299" i="19" a="1"/>
  <c r="F300" i="19"/>
  <c r="G300" i="19" a="1"/>
  <c r="F301" i="19"/>
  <c r="G301" i="19" a="1"/>
  <c r="F302" i="19"/>
  <c r="G302" i="19" a="1"/>
  <c r="F303" i="19"/>
  <c r="G303" i="19" a="1"/>
  <c r="F304" i="19"/>
  <c r="G304" i="19" a="1"/>
  <c r="F305" i="19"/>
  <c r="G305" i="19" a="1"/>
  <c r="F306" i="19"/>
  <c r="G306" i="19" a="1"/>
  <c r="F307" i="19"/>
  <c r="G307" i="19" a="1"/>
  <c r="F308" i="19"/>
  <c r="G308" i="19" a="1"/>
  <c r="F309" i="19"/>
  <c r="G309" i="19" a="1"/>
  <c r="F310" i="19"/>
  <c r="G310" i="19" a="1"/>
  <c r="F311" i="19"/>
  <c r="G311" i="19" a="1"/>
  <c r="F312" i="19"/>
  <c r="G312" i="19" a="1"/>
  <c r="F313" i="19"/>
  <c r="G313" i="19" a="1"/>
  <c r="F314" i="19"/>
  <c r="G314" i="19" a="1"/>
  <c r="F315" i="19"/>
  <c r="G315" i="19" a="1"/>
  <c r="F316" i="19"/>
  <c r="G316" i="19" a="1"/>
  <c r="F317" i="19"/>
  <c r="G317" i="19" a="1"/>
  <c r="F318" i="19"/>
  <c r="G318" i="19" a="1"/>
  <c r="F319" i="19"/>
  <c r="G319" i="19" a="1"/>
  <c r="F320" i="19"/>
  <c r="G320" i="19" a="1"/>
  <c r="F321" i="19"/>
  <c r="G321" i="19" a="1"/>
  <c r="F322" i="19"/>
  <c r="G322" i="19" a="1"/>
  <c r="F323" i="19"/>
  <c r="G323" i="19" a="1"/>
  <c r="F324" i="19"/>
  <c r="G324" i="19" a="1"/>
  <c r="F325" i="19"/>
  <c r="G325" i="19" a="1"/>
  <c r="F326" i="19"/>
  <c r="G326" i="19" a="1"/>
  <c r="F327" i="19"/>
  <c r="G327" i="19" a="1"/>
  <c r="F328" i="19"/>
  <c r="G328" i="19" a="1"/>
  <c r="F329" i="19"/>
  <c r="G329" i="19" a="1"/>
  <c r="F330" i="19"/>
  <c r="G330" i="19" a="1"/>
  <c r="F331" i="19"/>
  <c r="G331" i="19" a="1"/>
  <c r="F332" i="19"/>
  <c r="G332" i="19" a="1"/>
  <c r="F333" i="19"/>
  <c r="G333" i="19" a="1"/>
  <c r="F334" i="19"/>
  <c r="G334" i="19" a="1"/>
  <c r="F335" i="19"/>
  <c r="G335" i="19" a="1"/>
  <c r="F336" i="19"/>
  <c r="G336" i="19" a="1"/>
  <c r="F337" i="19"/>
  <c r="G337" i="19" a="1"/>
  <c r="F338" i="19"/>
  <c r="G338" i="19" a="1"/>
  <c r="F339" i="19"/>
  <c r="G339" i="19" a="1"/>
  <c r="F340" i="19"/>
  <c r="G340" i="19" a="1"/>
  <c r="F341" i="19"/>
  <c r="G341" i="19" a="1"/>
  <c r="F342" i="19"/>
  <c r="G342" i="19" a="1"/>
  <c r="F343" i="19"/>
  <c r="G343" i="19" a="1"/>
  <c r="F344" i="19"/>
  <c r="G344" i="19" a="1"/>
  <c r="F345" i="19"/>
  <c r="G345" i="19" a="1"/>
  <c r="F346" i="19"/>
  <c r="G346" i="19" a="1"/>
  <c r="F347" i="19"/>
  <c r="G347" i="19" a="1"/>
  <c r="F348" i="19"/>
  <c r="G348" i="19" a="1"/>
  <c r="F349" i="19"/>
  <c r="G349" i="19" a="1"/>
  <c r="F350" i="19"/>
  <c r="G350" i="19" a="1"/>
  <c r="F351" i="19"/>
  <c r="G351" i="19" a="1"/>
  <c r="F352" i="19"/>
  <c r="G352" i="19" a="1"/>
  <c r="F353" i="19"/>
  <c r="G353" i="19" a="1"/>
  <c r="F354" i="19"/>
  <c r="G354" i="19" a="1"/>
  <c r="F355" i="19"/>
  <c r="G355" i="19" a="1"/>
  <c r="F356" i="19"/>
  <c r="G356" i="19" a="1"/>
  <c r="F357" i="19"/>
  <c r="G357" i="19" a="1"/>
  <c r="F358" i="19"/>
  <c r="G358" i="19" a="1"/>
  <c r="F359" i="19"/>
  <c r="G359" i="19" a="1"/>
  <c r="F360" i="19"/>
  <c r="G360" i="19" a="1"/>
  <c r="F361" i="19"/>
  <c r="G361" i="19" a="1"/>
  <c r="F362" i="19"/>
  <c r="G362" i="19" a="1"/>
  <c r="F363" i="19"/>
  <c r="G363" i="19" a="1"/>
  <c r="F364" i="19"/>
  <c r="G364" i="19" a="1"/>
  <c r="F365" i="19"/>
  <c r="G365" i="19" a="1"/>
  <c r="F366" i="19"/>
  <c r="G366" i="19" a="1"/>
  <c r="F367" i="19"/>
  <c r="G367" i="19" a="1"/>
  <c r="F368" i="19"/>
  <c r="G368" i="19" a="1"/>
  <c r="F369" i="19"/>
  <c r="G369" i="19" a="1"/>
  <c r="F370" i="19"/>
  <c r="G370" i="19" a="1"/>
  <c r="F371" i="19"/>
  <c r="G371" i="19" a="1"/>
  <c r="F372" i="19"/>
  <c r="G372" i="19" a="1"/>
  <c r="F373" i="19"/>
  <c r="G373" i="19" a="1"/>
  <c r="F374" i="19"/>
  <c r="G374" i="19" a="1"/>
  <c r="F375" i="19"/>
  <c r="G375" i="19" a="1"/>
  <c r="F376" i="19"/>
  <c r="G376" i="19" a="1"/>
  <c r="F377" i="19"/>
  <c r="G377" i="19" a="1"/>
  <c r="F378" i="19"/>
  <c r="G378" i="19" a="1"/>
  <c r="F379" i="19"/>
  <c r="G379" i="19" a="1"/>
  <c r="F380" i="19"/>
  <c r="G380" i="19" a="1"/>
  <c r="F381" i="19"/>
  <c r="G381" i="19" a="1"/>
  <c r="F382" i="19"/>
  <c r="G382" i="19" a="1"/>
  <c r="F383" i="19"/>
  <c r="G383" i="19" a="1"/>
  <c r="F384" i="19"/>
  <c r="G384" i="19" a="1"/>
  <c r="F385" i="19"/>
  <c r="G385" i="19" a="1"/>
  <c r="F386" i="19"/>
  <c r="G386" i="19" a="1"/>
  <c r="F387" i="19"/>
  <c r="G387" i="19" a="1"/>
  <c r="F388" i="19"/>
  <c r="G388" i="19" a="1"/>
  <c r="F389" i="19"/>
  <c r="G389" i="19" a="1"/>
  <c r="F390" i="19"/>
  <c r="G390" i="19" a="1"/>
  <c r="F391" i="19"/>
  <c r="G391" i="19" a="1"/>
  <c r="F392" i="19"/>
  <c r="G392" i="19" a="1"/>
  <c r="F393" i="19"/>
  <c r="G393" i="19" a="1"/>
  <c r="F394" i="19"/>
  <c r="G394" i="19" a="1"/>
  <c r="F395" i="19"/>
  <c r="G395" i="19" a="1"/>
  <c r="F396" i="19"/>
  <c r="G396" i="19" a="1"/>
  <c r="F397" i="19"/>
  <c r="G397" i="19" a="1"/>
  <c r="F398" i="19"/>
  <c r="G398" i="19" a="1"/>
  <c r="F399" i="19"/>
  <c r="G399" i="19" a="1"/>
  <c r="F400" i="19"/>
  <c r="G400" i="19" a="1"/>
  <c r="F401" i="19"/>
  <c r="G401" i="19" a="1"/>
  <c r="F402" i="19"/>
  <c r="G402" i="19" a="1"/>
  <c r="F403" i="19"/>
  <c r="G403" i="19" a="1"/>
  <c r="F404" i="19"/>
  <c r="G404" i="19" a="1"/>
  <c r="F405" i="19"/>
  <c r="G405" i="19" a="1"/>
  <c r="F406" i="19"/>
  <c r="G406" i="19" a="1"/>
  <c r="F407" i="19"/>
  <c r="G407" i="19" a="1"/>
  <c r="F408" i="19"/>
  <c r="G408" i="19" a="1"/>
  <c r="F409" i="19"/>
  <c r="G409" i="19" a="1"/>
  <c r="F410" i="19"/>
  <c r="G410" i="19" a="1"/>
  <c r="F411" i="19"/>
  <c r="G411" i="19" a="1"/>
  <c r="F412" i="19"/>
  <c r="G412" i="19" a="1"/>
  <c r="F413" i="19"/>
  <c r="G413" i="19" a="1"/>
  <c r="F414" i="19"/>
  <c r="G414" i="19" a="1"/>
  <c r="F415" i="19"/>
  <c r="G415" i="19" a="1"/>
  <c r="F416" i="19"/>
  <c r="G416" i="19" a="1"/>
  <c r="F417" i="19"/>
  <c r="G417" i="19" a="1"/>
  <c r="F418" i="19"/>
  <c r="G418" i="19" a="1"/>
  <c r="F419" i="19"/>
  <c r="G419" i="19" a="1"/>
  <c r="F420" i="19"/>
  <c r="G420" i="19" a="1"/>
  <c r="F421" i="19"/>
  <c r="G421" i="19" a="1"/>
  <c r="F422" i="19"/>
  <c r="G422" i="19" a="1"/>
  <c r="F423" i="19"/>
  <c r="G423" i="19" a="1"/>
  <c r="F424" i="19"/>
  <c r="G424" i="19" a="1"/>
  <c r="F425" i="19"/>
  <c r="G425" i="19" a="1"/>
  <c r="F426" i="19"/>
  <c r="G426" i="19" a="1"/>
  <c r="F427" i="19"/>
  <c r="G427" i="19" a="1"/>
  <c r="F428" i="19"/>
  <c r="G428" i="19" a="1"/>
  <c r="F429" i="19"/>
  <c r="G429" i="19" a="1"/>
  <c r="F430" i="19"/>
  <c r="G430" i="19" a="1"/>
  <c r="F431" i="19"/>
  <c r="G431" i="19" a="1"/>
  <c r="F432" i="19"/>
  <c r="G432" i="19" a="1"/>
  <c r="F433" i="19"/>
  <c r="G433" i="19" a="1"/>
  <c r="F434" i="19"/>
  <c r="G434" i="19" a="1"/>
  <c r="F435" i="19"/>
  <c r="G435" i="19" a="1"/>
  <c r="F436" i="19"/>
  <c r="G436" i="19" a="1"/>
  <c r="F437" i="19"/>
  <c r="G437" i="19" a="1"/>
  <c r="F438" i="19"/>
  <c r="G438" i="19" a="1"/>
  <c r="F439" i="19"/>
  <c r="G439" i="19" a="1"/>
  <c r="F440" i="19"/>
  <c r="G440" i="19" a="1"/>
  <c r="F441" i="19"/>
  <c r="G441" i="19" a="1"/>
  <c r="F442" i="19"/>
  <c r="G442" i="19" a="1"/>
  <c r="F443" i="19"/>
  <c r="G443" i="19" a="1"/>
  <c r="F444" i="19"/>
  <c r="G444" i="19" a="1"/>
  <c r="F445" i="19"/>
  <c r="G445" i="19" a="1"/>
  <c r="F446" i="19"/>
  <c r="G446" i="19" a="1"/>
  <c r="F447" i="19"/>
  <c r="G447" i="19" a="1"/>
  <c r="F448" i="19"/>
  <c r="G448" i="19" a="1"/>
  <c r="F449" i="19"/>
  <c r="G449" i="19" a="1"/>
  <c r="F450" i="19"/>
  <c r="G450" i="19" a="1"/>
  <c r="F451" i="19"/>
  <c r="G451" i="19" a="1"/>
  <c r="F452" i="19"/>
  <c r="G452" i="19" a="1"/>
  <c r="F453" i="19"/>
  <c r="G453" i="19" a="1"/>
  <c r="F454" i="19"/>
  <c r="G454" i="19" a="1"/>
  <c r="F455" i="19"/>
  <c r="G455" i="19" a="1"/>
  <c r="F456" i="19"/>
  <c r="G456" i="19" a="1"/>
  <c r="F457" i="19"/>
  <c r="G457" i="19" a="1"/>
  <c r="F458" i="19"/>
  <c r="G458" i="19" a="1"/>
  <c r="F459" i="19"/>
  <c r="G459" i="19" a="1"/>
  <c r="F460" i="19"/>
  <c r="G460" i="19" a="1"/>
  <c r="F461" i="19"/>
  <c r="G461" i="19" a="1"/>
  <c r="F462" i="19"/>
  <c r="G462" i="19" a="1"/>
  <c r="F463" i="19"/>
  <c r="G463" i="19" a="1"/>
  <c r="F464" i="19"/>
  <c r="G464" i="19" a="1"/>
  <c r="F465" i="19"/>
  <c r="G465" i="19" a="1"/>
  <c r="F466" i="19"/>
  <c r="G466" i="19" a="1"/>
  <c r="F467" i="19"/>
  <c r="G467" i="19" a="1"/>
  <c r="F468" i="19"/>
  <c r="G468" i="19" a="1"/>
  <c r="F469" i="19"/>
  <c r="G469" i="19" a="1"/>
  <c r="F470" i="19"/>
  <c r="G470" i="19" a="1"/>
  <c r="F471" i="19"/>
  <c r="G471" i="19" a="1"/>
  <c r="F472" i="19"/>
  <c r="G472" i="19" a="1"/>
  <c r="F473" i="19"/>
  <c r="G473" i="19" a="1"/>
  <c r="F474" i="19"/>
  <c r="G474" i="19" a="1"/>
  <c r="F475" i="19"/>
  <c r="G475" i="19" a="1"/>
  <c r="F476" i="19"/>
  <c r="G476" i="19" a="1"/>
  <c r="F477" i="19"/>
  <c r="G477" i="19" a="1"/>
  <c r="F478" i="19"/>
  <c r="G478" i="19" a="1"/>
  <c r="F479" i="19"/>
  <c r="G479" i="19" a="1"/>
  <c r="F480" i="19"/>
  <c r="G480" i="19" a="1"/>
  <c r="F481" i="19"/>
  <c r="G481" i="19" a="1"/>
  <c r="F482" i="19"/>
  <c r="G482" i="19" a="1"/>
  <c r="F483" i="19"/>
  <c r="G483" i="19" a="1"/>
  <c r="F484" i="19"/>
  <c r="G484" i="19" a="1"/>
  <c r="F485" i="19"/>
  <c r="G485" i="19" a="1"/>
  <c r="F486" i="19"/>
  <c r="G486" i="19" a="1"/>
  <c r="F487" i="19"/>
  <c r="G487" i="19" a="1"/>
  <c r="F488" i="19"/>
  <c r="G488" i="19" a="1"/>
  <c r="F489" i="19"/>
  <c r="G489" i="19" a="1"/>
  <c r="F490" i="19"/>
  <c r="G490" i="19" a="1"/>
  <c r="F491" i="19"/>
  <c r="G491" i="19" a="1"/>
  <c r="F492" i="19"/>
  <c r="G492" i="19" a="1"/>
  <c r="F493" i="19"/>
  <c r="G493" i="19" a="1"/>
  <c r="F494" i="19"/>
  <c r="G494" i="19" a="1"/>
  <c r="F495" i="19"/>
  <c r="G495" i="19" a="1"/>
  <c r="F496" i="19"/>
  <c r="G496" i="19" a="1"/>
  <c r="F497" i="19"/>
  <c r="G497" i="19" a="1"/>
  <c r="F498" i="19"/>
  <c r="G498" i="19" a="1"/>
  <c r="F499" i="19"/>
  <c r="G499" i="19" a="1"/>
  <c r="F500" i="19"/>
  <c r="G500" i="19" a="1"/>
  <c r="F501" i="19"/>
  <c r="G501" i="19" a="1"/>
  <c r="F502" i="19"/>
  <c r="G502" i="19" a="1"/>
  <c r="F503" i="19"/>
  <c r="G503" i="19" a="1"/>
  <c r="F504" i="19"/>
  <c r="G504" i="19" a="1"/>
  <c r="F505" i="19"/>
  <c r="G505" i="19" a="1"/>
  <c r="F506" i="19"/>
  <c r="G506" i="19" a="1"/>
  <c r="F507" i="19"/>
  <c r="G507" i="19" a="1"/>
  <c r="F509" i="19"/>
  <c r="G509" i="19" a="1"/>
  <c r="F510" i="19"/>
  <c r="G510" i="19" a="1"/>
  <c r="F511" i="19"/>
  <c r="G511" i="19" a="1"/>
  <c r="F512" i="19"/>
  <c r="G512" i="19" a="1"/>
  <c r="F513" i="19"/>
  <c r="G513" i="19" a="1"/>
  <c r="F514" i="19"/>
  <c r="G514" i="19" a="1"/>
  <c r="F515" i="19"/>
  <c r="G515" i="19" a="1"/>
  <c r="F516" i="19"/>
  <c r="G516" i="19" a="1"/>
  <c r="F517" i="19"/>
  <c r="G517" i="19" a="1"/>
  <c r="F518" i="19"/>
  <c r="G518" i="19" a="1"/>
  <c r="F519" i="19"/>
  <c r="G519" i="19" a="1"/>
  <c r="F520" i="19"/>
  <c r="G520" i="19" a="1"/>
  <c r="F521" i="19"/>
  <c r="G521" i="19" a="1"/>
  <c r="F522" i="19"/>
  <c r="G522" i="19" a="1"/>
  <c r="F523" i="19"/>
  <c r="G523" i="19" a="1"/>
  <c r="F524" i="19"/>
  <c r="G524" i="19" a="1"/>
  <c r="F525" i="19"/>
  <c r="G525" i="19" a="1"/>
  <c r="F526" i="19"/>
  <c r="G526" i="19" a="1"/>
  <c r="F527" i="19"/>
  <c r="G527" i="19" a="1"/>
  <c r="F528" i="19"/>
  <c r="G528" i="19" a="1"/>
  <c r="F529" i="19"/>
  <c r="G529" i="19" a="1"/>
  <c r="F530" i="19"/>
  <c r="G530" i="19" a="1"/>
  <c r="F531" i="19"/>
  <c r="G531" i="19" a="1"/>
  <c r="F532" i="19"/>
  <c r="G532" i="19" a="1"/>
  <c r="F533" i="19"/>
  <c r="G533" i="19" a="1"/>
  <c r="F534" i="19"/>
  <c r="G534" i="19" a="1"/>
  <c r="F535" i="19"/>
  <c r="G535" i="19" a="1"/>
  <c r="F536" i="19"/>
  <c r="G536" i="19" a="1"/>
  <c r="F537" i="19"/>
  <c r="G537" i="19" a="1"/>
  <c r="F538" i="19"/>
  <c r="G538" i="19" a="1"/>
  <c r="F539" i="19"/>
  <c r="G539" i="19" a="1"/>
  <c r="F540" i="19"/>
  <c r="G540" i="19" a="1"/>
  <c r="F541" i="19"/>
  <c r="G541" i="19" a="1"/>
  <c r="F542" i="19"/>
  <c r="G542" i="19" a="1"/>
  <c r="F543" i="19"/>
  <c r="G543" i="19" a="1"/>
  <c r="F544" i="19"/>
  <c r="G544" i="19" a="1"/>
  <c r="F545" i="19"/>
  <c r="G545" i="19" a="1"/>
  <c r="F546" i="19"/>
  <c r="G546" i="19" a="1"/>
  <c r="F547" i="19"/>
  <c r="G547" i="19" a="1"/>
  <c r="F548" i="19"/>
  <c r="G548" i="19" a="1"/>
  <c r="F549" i="19"/>
  <c r="G549" i="19" a="1"/>
  <c r="F550" i="19"/>
  <c r="G550" i="19" a="1"/>
  <c r="F551" i="19"/>
  <c r="G551" i="19" a="1"/>
  <c r="F552" i="19"/>
  <c r="G552" i="19" a="1"/>
  <c r="F553" i="19"/>
  <c r="G553" i="19" a="1"/>
  <c r="F554" i="19"/>
  <c r="G554" i="19" a="1"/>
  <c r="F555" i="19"/>
  <c r="G555" i="19" a="1"/>
  <c r="F556" i="19"/>
  <c r="G556" i="19" a="1"/>
  <c r="F557" i="19"/>
  <c r="G557" i="19" a="1"/>
  <c r="F558" i="19"/>
  <c r="G558" i="19" a="1"/>
  <c r="F559" i="19"/>
  <c r="G559" i="19" a="1"/>
  <c r="F560" i="19"/>
  <c r="G560" i="19" a="1"/>
  <c r="F561" i="19"/>
  <c r="G561" i="19" a="1"/>
  <c r="F562" i="19"/>
  <c r="G562" i="19" a="1"/>
  <c r="F563" i="19"/>
  <c r="G563" i="19" a="1"/>
  <c r="F564" i="19"/>
  <c r="G564" i="19" a="1"/>
  <c r="F565" i="19"/>
  <c r="G565" i="19" a="1"/>
  <c r="F566" i="19"/>
  <c r="G566" i="19" a="1"/>
  <c r="F567" i="19"/>
  <c r="G567" i="19" a="1"/>
  <c r="F568" i="19"/>
  <c r="G568" i="19" a="1"/>
  <c r="F569" i="19"/>
  <c r="G569" i="19" a="1"/>
  <c r="F570" i="19"/>
  <c r="G570" i="19" a="1"/>
  <c r="F571" i="19"/>
  <c r="G571" i="19" a="1"/>
  <c r="F572" i="19"/>
  <c r="G572" i="19" a="1"/>
  <c r="F573" i="19"/>
  <c r="G573" i="19" a="1"/>
  <c r="F574" i="19"/>
  <c r="G574" i="19" a="1"/>
  <c r="F575" i="19"/>
  <c r="G575" i="19" a="1"/>
  <c r="F576" i="19"/>
  <c r="G576" i="19" a="1"/>
  <c r="F577" i="19"/>
  <c r="G577" i="19" a="1"/>
  <c r="F578" i="19"/>
  <c r="G578" i="19" a="1"/>
  <c r="F579" i="19"/>
  <c r="G579" i="19" a="1"/>
  <c r="F580" i="19"/>
  <c r="G580" i="19" a="1"/>
  <c r="F581" i="19"/>
  <c r="G581" i="19" a="1"/>
  <c r="F582" i="19"/>
  <c r="G582" i="19" a="1"/>
  <c r="F583" i="19"/>
  <c r="G583" i="19" a="1"/>
  <c r="F584" i="19"/>
  <c r="G584" i="19" a="1"/>
  <c r="F585" i="19"/>
  <c r="G585" i="19" a="1"/>
  <c r="F586" i="19"/>
  <c r="G586" i="19" a="1"/>
  <c r="F587" i="19"/>
  <c r="G587" i="19" a="1"/>
  <c r="F588" i="19"/>
  <c r="G588" i="19" a="1"/>
  <c r="F589" i="19"/>
  <c r="G589" i="19" a="1"/>
  <c r="F590" i="19"/>
  <c r="G590" i="19" a="1"/>
  <c r="F591" i="19"/>
  <c r="G591" i="19" a="1"/>
  <c r="F592" i="19"/>
  <c r="G592" i="19" a="1"/>
  <c r="F593" i="19"/>
  <c r="G593" i="19" a="1"/>
  <c r="F594" i="19"/>
  <c r="G594" i="19" a="1"/>
  <c r="F595" i="19"/>
  <c r="G595" i="19" a="1"/>
  <c r="F596" i="19"/>
  <c r="G596" i="19" a="1"/>
  <c r="F597" i="19"/>
  <c r="G597" i="19" a="1"/>
  <c r="F598" i="19"/>
  <c r="G598" i="19" a="1"/>
  <c r="F599" i="19"/>
  <c r="G599" i="19" a="1"/>
  <c r="F600" i="19"/>
  <c r="G600" i="19" a="1"/>
  <c r="F601" i="19"/>
  <c r="G601" i="19" a="1"/>
  <c r="F602" i="19"/>
  <c r="G602" i="19" a="1"/>
  <c r="F603" i="19"/>
  <c r="G603" i="19" a="1"/>
  <c r="F604" i="19"/>
  <c r="G604" i="19" a="1"/>
  <c r="F605" i="19"/>
  <c r="G605" i="19" a="1"/>
  <c r="F606" i="19"/>
  <c r="G606" i="19" a="1"/>
  <c r="F607" i="19"/>
  <c r="G607" i="19" a="1"/>
  <c r="F608" i="19"/>
  <c r="G608" i="19" a="1"/>
  <c r="F609" i="19"/>
  <c r="G609" i="19" a="1"/>
  <c r="F610" i="19"/>
  <c r="G610" i="19" a="1"/>
  <c r="F611" i="19"/>
  <c r="G611" i="19" a="1"/>
  <c r="F612" i="19"/>
  <c r="G612" i="19" a="1"/>
  <c r="F613" i="19"/>
  <c r="G613" i="19" a="1"/>
  <c r="F614" i="19"/>
  <c r="G614" i="19" a="1"/>
  <c r="F615" i="19"/>
  <c r="G615" i="19" a="1"/>
  <c r="F616" i="19"/>
  <c r="G616" i="19" a="1"/>
  <c r="F617" i="19"/>
  <c r="G617" i="19" a="1"/>
  <c r="F618" i="19"/>
  <c r="G618" i="19" a="1"/>
  <c r="F619" i="19"/>
  <c r="G619" i="19" a="1"/>
  <c r="F620" i="19"/>
  <c r="G620" i="19" a="1"/>
  <c r="F621" i="19"/>
  <c r="G621" i="19" a="1"/>
  <c r="F622" i="19"/>
  <c r="G622" i="19" a="1"/>
  <c r="F623" i="19"/>
  <c r="G623" i="19" a="1"/>
  <c r="F624" i="19"/>
  <c r="G624" i="19" a="1"/>
  <c r="F625" i="19"/>
  <c r="G625" i="19" a="1"/>
  <c r="F626" i="19"/>
  <c r="G626" i="19" a="1"/>
  <c r="F627" i="19"/>
  <c r="G627" i="19" a="1"/>
  <c r="F628" i="19"/>
  <c r="G628" i="19" a="1"/>
  <c r="F629" i="19"/>
  <c r="G629" i="19" a="1"/>
  <c r="F630" i="19"/>
  <c r="G630" i="19" a="1"/>
  <c r="F631" i="19"/>
  <c r="G631" i="19" a="1"/>
  <c r="F632" i="19"/>
  <c r="G632" i="19" a="1"/>
  <c r="F633" i="19"/>
  <c r="G633" i="19" a="1"/>
  <c r="F634" i="19"/>
  <c r="G634" i="19" a="1"/>
  <c r="F635" i="19"/>
  <c r="G635" i="19" a="1"/>
  <c r="F636" i="19"/>
  <c r="G636" i="19" a="1"/>
  <c r="F637" i="19"/>
  <c r="G637" i="19" a="1"/>
  <c r="F638" i="19"/>
  <c r="G638" i="19" a="1"/>
  <c r="F639" i="19"/>
  <c r="G639" i="19" a="1"/>
  <c r="F640" i="19"/>
  <c r="G640" i="19" a="1"/>
  <c r="F641" i="19"/>
  <c r="G641" i="19" a="1"/>
  <c r="F642" i="19"/>
  <c r="G642" i="19" a="1"/>
  <c r="F643" i="19"/>
  <c r="G643" i="19" a="1"/>
  <c r="F644" i="19"/>
  <c r="G644" i="19" a="1"/>
  <c r="F645" i="19"/>
  <c r="G645" i="19" a="1"/>
  <c r="F646" i="19"/>
  <c r="G646" i="19" a="1"/>
  <c r="F647" i="19"/>
  <c r="G647" i="19" a="1"/>
  <c r="F648" i="19"/>
  <c r="G648" i="19" a="1"/>
  <c r="F649" i="19"/>
  <c r="G649" i="19" a="1"/>
  <c r="F650" i="19"/>
  <c r="G650" i="19" a="1"/>
  <c r="F651" i="19"/>
  <c r="G651" i="19" a="1"/>
  <c r="F652" i="19"/>
  <c r="G652" i="19" a="1"/>
  <c r="F653" i="19"/>
  <c r="G653" i="19" a="1"/>
  <c r="F654" i="19"/>
  <c r="G654" i="19" a="1"/>
  <c r="F655" i="19"/>
  <c r="G655" i="19" a="1"/>
  <c r="F656" i="19"/>
  <c r="G656" i="19" a="1"/>
  <c r="F657" i="19"/>
  <c r="G657" i="19" a="1"/>
  <c r="F658" i="19"/>
  <c r="G658" i="19" a="1"/>
  <c r="F659" i="19"/>
  <c r="G659" i="19" a="1"/>
  <c r="F660" i="19"/>
  <c r="G660" i="19" a="1"/>
  <c r="F661" i="19"/>
  <c r="G661" i="19" a="1"/>
  <c r="F662" i="19"/>
  <c r="G662" i="19" a="1"/>
  <c r="F663" i="19"/>
  <c r="G663" i="19" a="1"/>
  <c r="F664" i="19"/>
  <c r="G664" i="19" a="1"/>
  <c r="F665" i="19"/>
  <c r="G665" i="19" a="1"/>
  <c r="F666" i="19"/>
  <c r="G666" i="19" a="1"/>
  <c r="F667" i="19"/>
  <c r="G667" i="19" a="1"/>
  <c r="F668" i="19"/>
  <c r="G668" i="19" a="1"/>
  <c r="F669" i="19"/>
  <c r="G669" i="19" a="1"/>
  <c r="F670" i="19"/>
  <c r="G670" i="19" a="1"/>
  <c r="F671" i="19"/>
  <c r="G671" i="19" a="1"/>
  <c r="F672" i="19"/>
  <c r="G672" i="19" a="1"/>
  <c r="F673" i="19"/>
  <c r="G673" i="19" a="1"/>
  <c r="F674" i="19"/>
  <c r="G674" i="19" a="1"/>
  <c r="F675" i="19"/>
  <c r="G675" i="19" a="1"/>
  <c r="F676" i="19"/>
  <c r="G676" i="19" a="1"/>
  <c r="F677" i="19"/>
  <c r="G677" i="19" a="1"/>
  <c r="F678" i="19"/>
  <c r="G678" i="19" a="1"/>
  <c r="F679" i="19"/>
  <c r="G679" i="19" a="1"/>
  <c r="F680" i="19"/>
  <c r="G680" i="19" a="1"/>
  <c r="F681" i="19"/>
  <c r="G681" i="19" a="1"/>
  <c r="F682" i="19"/>
  <c r="G682" i="19" a="1"/>
  <c r="F683" i="19"/>
  <c r="G683" i="19" a="1"/>
  <c r="F684" i="19"/>
  <c r="G684" i="19" a="1"/>
  <c r="F685" i="19"/>
  <c r="G685" i="19" a="1"/>
  <c r="F686" i="19"/>
  <c r="G686" i="19" a="1"/>
  <c r="F687" i="19"/>
  <c r="G687" i="19" a="1"/>
  <c r="F688" i="19"/>
  <c r="G688" i="19" a="1"/>
  <c r="F689" i="19"/>
  <c r="G689" i="19" a="1"/>
  <c r="F690" i="19"/>
  <c r="G690" i="19" a="1"/>
  <c r="F691" i="19"/>
  <c r="G691" i="19" a="1"/>
  <c r="F692" i="19"/>
  <c r="G692" i="19" a="1"/>
  <c r="F693" i="19"/>
  <c r="G693" i="19" a="1"/>
  <c r="F694" i="19"/>
  <c r="G694" i="19" a="1"/>
  <c r="F695" i="19"/>
  <c r="G695" i="19" a="1"/>
  <c r="F696" i="19"/>
  <c r="G696" i="19" a="1"/>
  <c r="F697" i="19"/>
  <c r="G697" i="19" a="1"/>
  <c r="F698" i="19"/>
  <c r="G698" i="19" a="1"/>
  <c r="F699" i="19"/>
  <c r="G699" i="19" a="1"/>
  <c r="F700" i="19"/>
  <c r="G700" i="19" a="1"/>
  <c r="F701" i="19"/>
  <c r="G701" i="19" a="1"/>
  <c r="F702" i="19"/>
  <c r="G702" i="19" a="1"/>
  <c r="F703" i="19"/>
  <c r="G703" i="19" a="1"/>
  <c r="F704" i="19"/>
  <c r="G704" i="19" a="1"/>
  <c r="F705" i="19"/>
  <c r="G705" i="19" a="1"/>
  <c r="F706" i="19"/>
  <c r="G706" i="19" a="1"/>
  <c r="F707" i="19"/>
  <c r="G707" i="19" a="1"/>
  <c r="F708" i="19"/>
  <c r="G708" i="19" a="1"/>
  <c r="F709" i="19"/>
  <c r="G709" i="19" a="1"/>
  <c r="F710" i="19"/>
  <c r="G710" i="19" a="1"/>
  <c r="F711" i="19"/>
  <c r="G711" i="19" a="1"/>
  <c r="F712" i="19"/>
  <c r="G712" i="19" a="1"/>
  <c r="F713" i="19"/>
  <c r="G713" i="19" a="1"/>
  <c r="F714" i="19"/>
  <c r="G714" i="19" a="1"/>
  <c r="F715" i="19"/>
  <c r="G715" i="19" a="1"/>
  <c r="F716" i="19"/>
  <c r="G716" i="19" a="1"/>
  <c r="F717" i="19"/>
  <c r="G717" i="19" a="1"/>
  <c r="F718" i="19"/>
  <c r="G718" i="19" a="1"/>
  <c r="F719" i="19"/>
  <c r="G719" i="19" a="1"/>
  <c r="F720" i="19"/>
  <c r="G720" i="19" a="1"/>
  <c r="F721" i="19"/>
  <c r="G721" i="19" a="1"/>
  <c r="F722" i="19"/>
  <c r="G722" i="19" a="1"/>
  <c r="F723" i="19"/>
  <c r="G723" i="19" a="1"/>
  <c r="F724" i="19"/>
  <c r="G724" i="19" a="1"/>
  <c r="F725" i="19"/>
  <c r="G725" i="19" a="1"/>
  <c r="F726" i="19"/>
  <c r="G726" i="19" a="1"/>
  <c r="F727" i="19"/>
  <c r="G727" i="19" a="1"/>
  <c r="F728" i="19"/>
  <c r="G728" i="19" a="1"/>
  <c r="F729" i="19"/>
  <c r="G729" i="19" a="1"/>
  <c r="F730" i="19"/>
  <c r="G730" i="19" a="1"/>
  <c r="F731" i="19"/>
  <c r="G731" i="19" a="1"/>
  <c r="F732" i="19"/>
  <c r="G732" i="19" a="1"/>
  <c r="F733" i="19"/>
  <c r="G733" i="19" a="1"/>
  <c r="F734" i="19"/>
  <c r="G734" i="19" a="1"/>
  <c r="F735" i="19"/>
  <c r="G735" i="19" a="1"/>
  <c r="F736" i="19"/>
  <c r="G736" i="19" a="1"/>
  <c r="F737" i="19"/>
  <c r="G737" i="19" a="1"/>
  <c r="F738" i="19"/>
  <c r="G738" i="19" a="1"/>
  <c r="F739" i="19"/>
  <c r="G739" i="19" a="1"/>
  <c r="F740" i="19"/>
  <c r="G740" i="19" a="1"/>
  <c r="F741" i="19"/>
  <c r="G741" i="19" a="1"/>
  <c r="F742" i="19"/>
  <c r="G742" i="19" a="1"/>
  <c r="F743" i="19"/>
  <c r="G743" i="19" a="1"/>
  <c r="F744" i="19"/>
  <c r="G744" i="19" a="1"/>
  <c r="F745" i="19"/>
  <c r="G745" i="19" a="1"/>
  <c r="F746" i="19"/>
  <c r="G746" i="19" a="1"/>
  <c r="F747" i="19"/>
  <c r="G747" i="19" a="1"/>
  <c r="F748" i="19"/>
  <c r="G748" i="19" a="1"/>
  <c r="F749" i="19"/>
  <c r="G749" i="19" a="1"/>
  <c r="F750" i="19"/>
  <c r="G750" i="19" a="1"/>
  <c r="F751" i="19"/>
  <c r="G751" i="19" a="1"/>
  <c r="F752" i="19"/>
  <c r="G752" i="19" a="1"/>
  <c r="F753" i="19"/>
  <c r="G753" i="19" a="1"/>
  <c r="F754" i="19"/>
  <c r="G754" i="19" a="1"/>
  <c r="F755" i="19"/>
  <c r="G755" i="19" a="1"/>
  <c r="F756" i="19"/>
  <c r="G756" i="19" a="1"/>
  <c r="F757" i="19"/>
  <c r="G757" i="19" a="1"/>
  <c r="F758" i="19"/>
  <c r="G758" i="19" a="1"/>
  <c r="F759" i="19"/>
  <c r="G759" i="19" a="1"/>
  <c r="F760" i="19"/>
  <c r="G760" i="19" a="1"/>
  <c r="F761" i="19"/>
  <c r="G761" i="19" a="1"/>
  <c r="F762" i="19"/>
  <c r="G762" i="19" a="1"/>
  <c r="F763" i="19"/>
  <c r="G763" i="19" a="1"/>
  <c r="F764" i="19"/>
  <c r="G764" i="19" a="1"/>
  <c r="F765" i="19"/>
  <c r="G765" i="19" a="1"/>
  <c r="F766" i="19"/>
  <c r="G766" i="19" a="1"/>
  <c r="F767" i="19"/>
  <c r="G767" i="19" a="1"/>
  <c r="F768" i="19"/>
  <c r="G768" i="19" a="1"/>
  <c r="F769" i="19"/>
  <c r="G769" i="19" a="1"/>
  <c r="F770" i="19"/>
  <c r="G770" i="19" a="1"/>
  <c r="F771" i="19"/>
  <c r="G771" i="19" a="1"/>
  <c r="F772" i="19"/>
  <c r="G772" i="19" a="1"/>
  <c r="F773" i="19"/>
  <c r="G773" i="19" a="1"/>
  <c r="F774" i="19"/>
  <c r="G774" i="19" a="1"/>
  <c r="F775" i="19"/>
  <c r="G775" i="19" a="1"/>
  <c r="F776" i="19"/>
  <c r="G776" i="19" a="1"/>
  <c r="F777" i="19"/>
  <c r="G777" i="19" a="1"/>
  <c r="F778" i="19"/>
  <c r="G778" i="19" a="1"/>
  <c r="F779" i="19"/>
  <c r="G779" i="19" a="1"/>
  <c r="F780" i="19"/>
  <c r="G780" i="19" a="1"/>
  <c r="F781" i="19"/>
  <c r="G781" i="19" a="1"/>
  <c r="F782" i="19"/>
  <c r="G782" i="19" a="1"/>
  <c r="F783" i="19"/>
  <c r="G783" i="19" a="1"/>
  <c r="F784" i="19"/>
  <c r="G784" i="19" a="1"/>
  <c r="F785" i="19"/>
  <c r="G785" i="19" a="1"/>
  <c r="F786" i="19"/>
  <c r="G786" i="19" a="1"/>
  <c r="F787" i="19"/>
  <c r="G787" i="19" a="1"/>
  <c r="F788" i="19"/>
  <c r="G788" i="19" a="1"/>
  <c r="F789" i="19"/>
  <c r="G789" i="19" a="1"/>
  <c r="F790" i="19"/>
  <c r="G790" i="19" a="1"/>
  <c r="F791" i="19"/>
  <c r="G791" i="19" a="1"/>
  <c r="F792" i="19"/>
  <c r="G792" i="19" a="1"/>
  <c r="F793" i="19"/>
  <c r="G793" i="19" a="1"/>
  <c r="F794" i="19"/>
  <c r="G794" i="19" a="1"/>
  <c r="F795" i="19"/>
  <c r="G795" i="19" a="1"/>
  <c r="F796" i="19"/>
  <c r="G796" i="19" a="1"/>
  <c r="F797" i="19"/>
  <c r="G797" i="19" a="1"/>
  <c r="F798" i="19"/>
  <c r="G798" i="19" a="1"/>
  <c r="F799" i="19"/>
  <c r="G799" i="19" a="1"/>
  <c r="F800" i="19"/>
  <c r="G800" i="19" a="1"/>
  <c r="F801" i="19"/>
  <c r="G801" i="19" a="1"/>
  <c r="F802" i="19"/>
  <c r="G802" i="19" a="1"/>
  <c r="F803" i="19"/>
  <c r="G803" i="19" a="1"/>
  <c r="F804" i="19"/>
  <c r="G804" i="19" a="1"/>
  <c r="F805" i="19"/>
  <c r="G805" i="19" a="1"/>
  <c r="F806" i="19"/>
  <c r="G806" i="19" a="1"/>
  <c r="F807" i="19"/>
  <c r="G807" i="19" a="1"/>
  <c r="F808" i="19"/>
  <c r="G808" i="19" a="1"/>
  <c r="F809" i="19"/>
  <c r="G809" i="19" a="1"/>
  <c r="F810" i="19"/>
  <c r="G810" i="19" a="1"/>
  <c r="F811" i="19"/>
  <c r="G811" i="19" a="1"/>
  <c r="F812" i="19"/>
  <c r="G812" i="19" a="1"/>
  <c r="F813" i="19"/>
  <c r="G813" i="19" a="1"/>
  <c r="F814" i="19"/>
  <c r="G814" i="19" a="1"/>
  <c r="F815" i="19"/>
  <c r="G815" i="19" a="1"/>
  <c r="F816" i="19"/>
  <c r="G816" i="19" a="1"/>
  <c r="F817" i="19"/>
  <c r="G817" i="19" a="1"/>
  <c r="F818" i="19"/>
  <c r="G818" i="19" a="1"/>
  <c r="F819" i="19"/>
  <c r="G819" i="19" a="1"/>
  <c r="F820" i="19"/>
  <c r="G820" i="19" a="1"/>
  <c r="F821" i="19"/>
  <c r="G821" i="19" a="1"/>
  <c r="F822" i="19"/>
  <c r="G822" i="19" a="1"/>
  <c r="F823" i="19"/>
  <c r="G823" i="19" a="1"/>
  <c r="F824" i="19"/>
  <c r="G824" i="19" a="1"/>
  <c r="F825" i="19"/>
  <c r="G825" i="19" a="1"/>
  <c r="F826" i="19"/>
  <c r="G826" i="19" a="1"/>
  <c r="F827" i="19"/>
  <c r="G827" i="19" a="1"/>
  <c r="F828" i="19"/>
  <c r="G828" i="19" a="1"/>
  <c r="F829" i="19"/>
  <c r="G829" i="19" a="1"/>
  <c r="F830" i="19"/>
  <c r="G830" i="19" a="1"/>
  <c r="F831" i="19"/>
  <c r="G831" i="19" a="1"/>
  <c r="F832" i="19"/>
  <c r="G832" i="19" a="1"/>
  <c r="F833" i="19"/>
  <c r="G833" i="19" a="1"/>
  <c r="F834" i="19"/>
  <c r="G834" i="19" a="1"/>
  <c r="F835" i="19"/>
  <c r="G835" i="19" a="1"/>
  <c r="F836" i="19"/>
  <c r="G836" i="19" a="1"/>
  <c r="F837" i="19"/>
  <c r="G837" i="19" a="1"/>
  <c r="F838" i="19"/>
  <c r="G838" i="19" a="1"/>
  <c r="F839" i="19"/>
  <c r="G839" i="19" a="1"/>
  <c r="F840" i="19"/>
  <c r="G840" i="19" a="1"/>
  <c r="F841" i="19"/>
  <c r="G841" i="19" a="1"/>
  <c r="F842" i="19"/>
  <c r="G842" i="19" a="1"/>
  <c r="F843" i="19"/>
  <c r="G843" i="19" a="1"/>
  <c r="F844" i="19"/>
  <c r="G844" i="19" a="1"/>
  <c r="F845" i="19"/>
  <c r="G845" i="19" a="1"/>
  <c r="F846" i="19"/>
  <c r="G846" i="19" a="1"/>
  <c r="F847" i="19"/>
  <c r="G847" i="19" a="1"/>
  <c r="F848" i="19"/>
  <c r="G848" i="19" a="1"/>
  <c r="F849" i="19"/>
  <c r="G849" i="19" a="1"/>
  <c r="F850" i="19"/>
  <c r="G850" i="19" a="1"/>
  <c r="F851" i="19"/>
  <c r="G851" i="19" a="1"/>
  <c r="F852" i="19"/>
  <c r="G852" i="19" a="1"/>
  <c r="F853" i="19"/>
  <c r="G853" i="19" a="1"/>
  <c r="F854" i="19"/>
  <c r="G854" i="19" a="1"/>
  <c r="F855" i="19"/>
  <c r="G855" i="19" a="1"/>
  <c r="F856" i="19"/>
  <c r="G856" i="19" a="1"/>
  <c r="F857" i="19"/>
  <c r="G857" i="19" a="1"/>
  <c r="F858" i="19"/>
  <c r="G858" i="19" a="1"/>
  <c r="F859" i="19"/>
  <c r="G859" i="19" a="1"/>
  <c r="F860" i="19"/>
  <c r="G860" i="19" a="1"/>
  <c r="F861" i="19"/>
  <c r="G861" i="19" a="1"/>
  <c r="F862" i="19"/>
  <c r="G862" i="19" a="1"/>
  <c r="F863" i="19"/>
  <c r="G863" i="19" a="1"/>
  <c r="F864" i="19"/>
  <c r="G864" i="19" a="1"/>
  <c r="F865" i="19"/>
  <c r="G865" i="19" a="1"/>
  <c r="F866" i="19"/>
  <c r="G866" i="19" a="1"/>
  <c r="F867" i="19"/>
  <c r="G867" i="19" a="1"/>
  <c r="F868" i="19"/>
  <c r="G868" i="19" a="1"/>
  <c r="F869" i="19"/>
  <c r="G869" i="19" a="1"/>
  <c r="F870" i="19"/>
  <c r="G870" i="19" a="1"/>
  <c r="F871" i="19"/>
  <c r="G871" i="19" a="1"/>
  <c r="F872" i="19"/>
  <c r="G872" i="19" a="1"/>
  <c r="F873" i="19"/>
  <c r="G873" i="19" a="1"/>
  <c r="F874" i="19"/>
  <c r="G874" i="19" a="1"/>
  <c r="F875" i="19"/>
  <c r="G875" i="19" a="1"/>
  <c r="F876" i="19"/>
  <c r="G876" i="19" a="1"/>
  <c r="F877" i="19"/>
  <c r="G877" i="19" a="1"/>
  <c r="F878" i="19"/>
  <c r="G878" i="19" a="1"/>
  <c r="F879" i="19"/>
  <c r="G879" i="19" a="1"/>
  <c r="F880" i="19"/>
  <c r="G880" i="19" a="1"/>
  <c r="F881" i="19"/>
  <c r="G881" i="19" a="1"/>
  <c r="F882" i="19"/>
  <c r="G882" i="19" a="1"/>
  <c r="F883" i="19"/>
  <c r="G883" i="19" a="1"/>
  <c r="F884" i="19"/>
  <c r="G884" i="19" a="1"/>
  <c r="F885" i="19"/>
  <c r="G885" i="19" a="1"/>
  <c r="F886" i="19"/>
  <c r="G886" i="19" a="1"/>
  <c r="F887" i="19"/>
  <c r="G887" i="19" a="1"/>
  <c r="F888" i="19"/>
  <c r="G888" i="19" a="1"/>
  <c r="F889" i="19"/>
  <c r="G889" i="19" a="1"/>
  <c r="F890" i="19"/>
  <c r="G890" i="19" a="1"/>
  <c r="F891" i="19"/>
  <c r="G891" i="19" a="1"/>
  <c r="F892" i="19"/>
  <c r="G892" i="19" a="1"/>
  <c r="F893" i="19"/>
  <c r="G893" i="19" a="1"/>
  <c r="F894" i="19"/>
  <c r="G894" i="19" a="1"/>
  <c r="F895" i="19"/>
  <c r="G895" i="19" a="1"/>
  <c r="F896" i="19"/>
  <c r="G896" i="19" a="1"/>
  <c r="F897" i="19"/>
  <c r="G897" i="19" a="1"/>
  <c r="F898" i="19"/>
  <c r="G898" i="19" a="1"/>
  <c r="F899" i="19"/>
  <c r="G899" i="19" a="1"/>
  <c r="F900" i="19"/>
  <c r="G900" i="19" a="1"/>
  <c r="F901" i="19"/>
  <c r="G901" i="19" a="1"/>
  <c r="F902" i="19"/>
  <c r="G902" i="19" a="1"/>
  <c r="F903" i="19"/>
  <c r="G903" i="19" a="1"/>
  <c r="F904" i="19"/>
  <c r="G904" i="19" a="1"/>
  <c r="F905" i="19"/>
  <c r="G905" i="19" a="1"/>
  <c r="F906" i="19"/>
  <c r="G906" i="19" a="1"/>
  <c r="F907" i="19"/>
  <c r="G907" i="19" a="1"/>
  <c r="F908" i="19"/>
  <c r="G908" i="19" a="1"/>
  <c r="F909" i="19"/>
  <c r="G909" i="19" a="1"/>
  <c r="F910" i="19"/>
  <c r="G910" i="19" a="1"/>
  <c r="F911" i="19"/>
  <c r="G911" i="19" a="1"/>
  <c r="F912" i="19"/>
  <c r="G912" i="19" a="1"/>
  <c r="F913" i="19"/>
  <c r="G913" i="19" a="1"/>
  <c r="F914" i="19"/>
  <c r="G914" i="19" a="1"/>
  <c r="F915" i="19"/>
  <c r="G915" i="19" a="1"/>
  <c r="F916" i="19"/>
  <c r="G916" i="19" a="1"/>
  <c r="F917" i="19"/>
  <c r="G917" i="19" a="1"/>
  <c r="F918" i="19"/>
  <c r="G918" i="19" a="1"/>
  <c r="F919" i="19"/>
  <c r="G919" i="19" a="1"/>
  <c r="F920" i="19"/>
  <c r="G920" i="19" a="1"/>
  <c r="F921" i="19"/>
  <c r="G921" i="19" a="1"/>
  <c r="F922" i="19"/>
  <c r="G922" i="19" a="1"/>
  <c r="F923" i="19"/>
  <c r="G923" i="19" a="1"/>
  <c r="F924" i="19"/>
  <c r="G924" i="19" a="1"/>
  <c r="F925" i="19"/>
  <c r="G925" i="19" a="1"/>
  <c r="F926" i="19"/>
  <c r="G926" i="19" a="1"/>
  <c r="F927" i="19"/>
  <c r="G927" i="19" a="1"/>
  <c r="F928" i="19"/>
  <c r="G928" i="19" a="1"/>
  <c r="F929" i="19"/>
  <c r="G929" i="19" a="1"/>
  <c r="F930" i="19"/>
  <c r="G930" i="19" a="1"/>
  <c r="F931" i="19"/>
  <c r="G931" i="19" a="1"/>
  <c r="F932" i="19"/>
  <c r="G932" i="19" a="1"/>
  <c r="F933" i="19"/>
  <c r="G933" i="19" a="1"/>
  <c r="F934" i="19"/>
  <c r="G934" i="19" a="1"/>
  <c r="F935" i="19"/>
  <c r="G935" i="19" a="1"/>
  <c r="F936" i="19"/>
  <c r="G936" i="19" a="1"/>
  <c r="F937" i="19"/>
  <c r="G937" i="19" a="1"/>
  <c r="F938" i="19"/>
  <c r="G938" i="19" a="1"/>
  <c r="F939" i="19"/>
  <c r="G939" i="19" a="1"/>
  <c r="F940" i="19"/>
  <c r="G940" i="19" a="1"/>
  <c r="F941" i="19"/>
  <c r="G941" i="19" a="1"/>
  <c r="F942" i="19"/>
  <c r="G942" i="19" a="1"/>
  <c r="F943" i="19"/>
  <c r="G943" i="19" a="1"/>
  <c r="F944" i="19"/>
  <c r="G944" i="19" a="1"/>
  <c r="F945" i="19"/>
  <c r="G945" i="19" a="1"/>
  <c r="F946" i="19"/>
  <c r="G946" i="19" a="1"/>
  <c r="F947" i="19"/>
  <c r="G947" i="19" a="1"/>
  <c r="F948" i="19"/>
  <c r="G948" i="19" a="1"/>
  <c r="F949" i="19"/>
  <c r="G949" i="19" a="1"/>
  <c r="F950" i="19"/>
  <c r="G950" i="19" a="1"/>
  <c r="F951" i="19"/>
  <c r="G951" i="19" a="1"/>
  <c r="F952" i="19"/>
  <c r="G952" i="19" a="1"/>
  <c r="F953" i="19"/>
  <c r="G953" i="19" a="1"/>
  <c r="F954" i="19"/>
  <c r="G954" i="19" a="1"/>
  <c r="F955" i="19"/>
  <c r="G955" i="19" a="1"/>
  <c r="F956" i="19"/>
  <c r="G956" i="19" a="1"/>
  <c r="F957" i="19"/>
  <c r="G957" i="19" a="1"/>
  <c r="F958" i="19"/>
  <c r="G958" i="19" a="1"/>
  <c r="F959" i="19"/>
  <c r="G959" i="19" a="1"/>
  <c r="F960" i="19"/>
  <c r="G960" i="19" a="1"/>
  <c r="F961" i="19"/>
  <c r="G961" i="19" a="1"/>
  <c r="F962" i="19"/>
  <c r="G962" i="19" a="1"/>
  <c r="F963" i="19"/>
  <c r="G963" i="19" a="1"/>
  <c r="F964" i="19"/>
  <c r="G964" i="19" a="1"/>
  <c r="F965" i="19"/>
  <c r="G965" i="19" a="1"/>
  <c r="F966" i="19"/>
  <c r="G966" i="19" a="1"/>
  <c r="F967" i="19"/>
  <c r="G967" i="19" a="1"/>
  <c r="F968" i="19"/>
  <c r="G968" i="19" a="1"/>
  <c r="F969" i="19"/>
  <c r="G969" i="19" a="1"/>
  <c r="F970" i="19"/>
  <c r="G970" i="19" a="1"/>
  <c r="F971" i="19"/>
  <c r="G971" i="19" a="1"/>
  <c r="F972" i="19"/>
  <c r="G972" i="19" a="1"/>
  <c r="F973" i="19"/>
  <c r="G973" i="19" a="1"/>
  <c r="F974" i="19"/>
  <c r="G974" i="19" a="1"/>
  <c r="F975" i="19"/>
  <c r="G975" i="19" a="1"/>
  <c r="F976" i="19"/>
  <c r="G976" i="19" a="1"/>
  <c r="F977" i="19"/>
  <c r="G977" i="19" a="1"/>
  <c r="F978" i="19"/>
  <c r="G978" i="19" a="1"/>
  <c r="F979" i="19"/>
  <c r="G979" i="19" a="1"/>
  <c r="F980" i="19"/>
  <c r="G980" i="19" a="1"/>
  <c r="F981" i="19"/>
  <c r="G981" i="19" a="1"/>
  <c r="F982" i="19"/>
  <c r="G982" i="19" a="1"/>
  <c r="F983" i="19"/>
  <c r="G983" i="19" a="1"/>
  <c r="F984" i="19"/>
  <c r="G984" i="19" a="1"/>
  <c r="F985" i="19"/>
  <c r="G985" i="19" a="1"/>
  <c r="F986" i="19"/>
  <c r="G986" i="19" a="1"/>
  <c r="F987" i="19"/>
  <c r="G987" i="19" a="1"/>
  <c r="F988" i="19"/>
  <c r="G988" i="19" a="1"/>
  <c r="F989" i="19"/>
  <c r="G989" i="19" a="1"/>
  <c r="F990" i="19"/>
  <c r="G990" i="19" a="1"/>
  <c r="F991" i="19"/>
  <c r="G991" i="19" a="1"/>
  <c r="F992" i="19"/>
  <c r="G992" i="19" a="1"/>
  <c r="F993" i="19"/>
  <c r="G993" i="19" a="1"/>
  <c r="F994" i="19"/>
  <c r="G994" i="19" a="1"/>
  <c r="F995" i="19"/>
  <c r="G995" i="19" a="1"/>
  <c r="F996" i="19"/>
  <c r="G996" i="19" a="1"/>
  <c r="F997" i="19"/>
  <c r="G997" i="19" a="1"/>
  <c r="F998" i="19"/>
  <c r="G998" i="19" a="1"/>
  <c r="F999" i="19"/>
  <c r="G999" i="19" a="1"/>
  <c r="F1000" i="19"/>
  <c r="G1000" i="19" a="1"/>
  <c r="F1001" i="19"/>
  <c r="G1001" i="19" a="1"/>
  <c r="F1002" i="19"/>
  <c r="G1002" i="19" a="1"/>
  <c r="F1003" i="19"/>
  <c r="G1003" i="19" a="1"/>
  <c r="F1004" i="19"/>
  <c r="G1004" i="19" a="1"/>
  <c r="F1005" i="19"/>
  <c r="G1005" i="19" a="1"/>
  <c r="F1006" i="19"/>
  <c r="G1006" i="19" a="1"/>
  <c r="F1007" i="19"/>
  <c r="G1007" i="19" a="1"/>
  <c r="F1008" i="19"/>
  <c r="G1008" i="19" a="1"/>
  <c r="F1009" i="19"/>
  <c r="G1009" i="19" a="1"/>
  <c r="F1010" i="19"/>
  <c r="G1010" i="19" a="1"/>
  <c r="F1011" i="19"/>
  <c r="G1011" i="19" a="1"/>
  <c r="F1012" i="19"/>
  <c r="G1012" i="19" a="1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2" i="19"/>
  <c r="G813" i="19"/>
  <c r="G814" i="19"/>
  <c r="G815" i="19"/>
  <c r="G816" i="19"/>
  <c r="G817" i="19"/>
  <c r="G818" i="19"/>
  <c r="G819" i="19"/>
  <c r="G820" i="19"/>
  <c r="G821" i="19"/>
  <c r="G822" i="19"/>
  <c r="G823" i="19"/>
  <c r="G824" i="19"/>
  <c r="G825" i="19"/>
  <c r="G826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H6" i="19" a="1"/>
  <c r="H6" i="19"/>
  <c r="H7" i="19" a="1"/>
  <c r="H7" i="19"/>
  <c r="H8" i="19" a="1"/>
  <c r="H9" i="19" a="1"/>
  <c r="H10" i="19" a="1"/>
  <c r="H11" i="19" a="1"/>
  <c r="H12" i="19" a="1"/>
  <c r="H13" i="19" a="1"/>
  <c r="H14" i="19" a="1"/>
  <c r="H15" i="19" a="1"/>
  <c r="H16" i="19" a="1"/>
  <c r="H17" i="19" a="1"/>
  <c r="H18" i="19" a="1"/>
  <c r="H19" i="19" a="1"/>
  <c r="H20" i="19" a="1"/>
  <c r="H21" i="19" a="1"/>
  <c r="H22" i="19" a="1"/>
  <c r="H23" i="19" a="1"/>
  <c r="H24" i="19" a="1"/>
  <c r="H25" i="19" a="1"/>
  <c r="H26" i="19" a="1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K6" i="19"/>
  <c r="L6" i="19"/>
  <c r="H27" i="19" a="1"/>
  <c r="H27" i="19"/>
  <c r="H28" i="19" a="1"/>
  <c r="H29" i="19" a="1"/>
  <c r="H30" i="19" a="1"/>
  <c r="H31" i="19" a="1"/>
  <c r="H32" i="19" a="1"/>
  <c r="H33" i="19" a="1"/>
  <c r="H34" i="19" a="1"/>
  <c r="H35" i="19" a="1"/>
  <c r="H36" i="19" a="1"/>
  <c r="H37" i="19" a="1"/>
  <c r="H38" i="19" a="1"/>
  <c r="H39" i="19" a="1"/>
  <c r="H40" i="19" a="1"/>
  <c r="H41" i="19" a="1"/>
  <c r="H42" i="19" a="1"/>
  <c r="H43" i="19" a="1"/>
  <c r="H44" i="19" a="1"/>
  <c r="H45" i="19" a="1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K7" i="19"/>
  <c r="L7" i="19"/>
  <c r="H46" i="19" a="1"/>
  <c r="H46" i="19"/>
  <c r="H47" i="19" a="1"/>
  <c r="H48" i="19" a="1"/>
  <c r="H49" i="19" a="1"/>
  <c r="H50" i="19" a="1"/>
  <c r="H51" i="19" a="1"/>
  <c r="H52" i="19" a="1"/>
  <c r="H53" i="19" a="1"/>
  <c r="H54" i="19" a="1"/>
  <c r="H55" i="19" a="1"/>
  <c r="H56" i="19" a="1"/>
  <c r="H57" i="19" a="1"/>
  <c r="H58" i="19" a="1"/>
  <c r="H59" i="19" a="1"/>
  <c r="H60" i="19" a="1"/>
  <c r="H61" i="19" a="1"/>
  <c r="H62" i="19" a="1"/>
  <c r="H63" i="19" a="1"/>
  <c r="H64" i="19" a="1"/>
  <c r="H65" i="19" a="1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K8" i="19"/>
  <c r="L8" i="19"/>
  <c r="H66" i="19" a="1"/>
  <c r="H66" i="19"/>
  <c r="H67" i="19" a="1"/>
  <c r="H68" i="19" a="1"/>
  <c r="H69" i="19" a="1"/>
  <c r="H70" i="19" a="1"/>
  <c r="H71" i="19" a="1"/>
  <c r="H72" i="19" a="1"/>
  <c r="H73" i="19" a="1"/>
  <c r="H74" i="19" a="1"/>
  <c r="H75" i="19" a="1"/>
  <c r="H76" i="19" a="1"/>
  <c r="H77" i="19" a="1"/>
  <c r="H78" i="19" a="1"/>
  <c r="H79" i="19" a="1"/>
  <c r="H80" i="19" a="1"/>
  <c r="H81" i="19" a="1"/>
  <c r="H82" i="19" a="1"/>
  <c r="H83" i="19" a="1"/>
  <c r="H84" i="19" a="1"/>
  <c r="H85" i="19" a="1"/>
  <c r="H86" i="19" a="1"/>
  <c r="H87" i="19" a="1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K9" i="19"/>
  <c r="L9" i="19"/>
  <c r="N9" i="19"/>
  <c r="H88" i="19" a="1"/>
  <c r="H88" i="19"/>
  <c r="H89" i="19" a="1"/>
  <c r="H90" i="19" a="1"/>
  <c r="H91" i="19" a="1"/>
  <c r="H92" i="19" a="1"/>
  <c r="H93" i="19" a="1"/>
  <c r="H94" i="19" a="1"/>
  <c r="H95" i="19" a="1"/>
  <c r="H96" i="19" a="1"/>
  <c r="H97" i="19" a="1"/>
  <c r="H98" i="19" a="1"/>
  <c r="H99" i="19" a="1"/>
  <c r="H100" i="19" a="1"/>
  <c r="H101" i="19" a="1"/>
  <c r="H102" i="19" a="1"/>
  <c r="H103" i="19" a="1"/>
  <c r="H104" i="19" a="1"/>
  <c r="H105" i="19" a="1"/>
  <c r="H106" i="19" a="1"/>
  <c r="H107" i="19" a="1"/>
  <c r="H108" i="19" a="1"/>
  <c r="H109" i="19" a="1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K10" i="19"/>
  <c r="L10" i="19"/>
  <c r="N10" i="19"/>
  <c r="H110" i="19" a="1"/>
  <c r="H110" i="19"/>
  <c r="H111" i="19" a="1"/>
  <c r="H112" i="19" a="1"/>
  <c r="H113" i="19" a="1"/>
  <c r="H114" i="19" a="1"/>
  <c r="H115" i="19" a="1"/>
  <c r="H116" i="19" a="1"/>
  <c r="H117" i="19" a="1"/>
  <c r="H118" i="19" a="1"/>
  <c r="H119" i="19" a="1"/>
  <c r="H120" i="19" a="1"/>
  <c r="H121" i="19" a="1"/>
  <c r="H122" i="19" a="1"/>
  <c r="H123" i="19" a="1"/>
  <c r="H124" i="19" a="1"/>
  <c r="H125" i="19" a="1"/>
  <c r="H126" i="19" a="1"/>
  <c r="H127" i="19" a="1"/>
  <c r="H128" i="19" a="1"/>
  <c r="H129" i="19" a="1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K11" i="19"/>
  <c r="L11" i="19"/>
  <c r="N11" i="19"/>
  <c r="H130" i="19" a="1"/>
  <c r="H130" i="19"/>
  <c r="H131" i="19" a="1"/>
  <c r="H132" i="19" a="1"/>
  <c r="H133" i="19" a="1"/>
  <c r="H134" i="19" a="1"/>
  <c r="H135" i="19" a="1"/>
  <c r="H136" i="19" a="1"/>
  <c r="H137" i="19" a="1"/>
  <c r="H138" i="19" a="1"/>
  <c r="H139" i="19" a="1"/>
  <c r="H140" i="19" a="1"/>
  <c r="H141" i="19" a="1"/>
  <c r="H142" i="19" a="1"/>
  <c r="H143" i="19" a="1"/>
  <c r="H144" i="19" a="1"/>
  <c r="H145" i="19" a="1"/>
  <c r="H146" i="19" a="1"/>
  <c r="H147" i="19" a="1"/>
  <c r="H148" i="19" a="1"/>
  <c r="H149" i="19" a="1"/>
  <c r="H150" i="19" a="1"/>
  <c r="H151" i="19" a="1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K12" i="19"/>
  <c r="L12" i="19"/>
  <c r="N12" i="19"/>
  <c r="H152" i="19" a="1"/>
  <c r="H152" i="19"/>
  <c r="H153" i="19" a="1"/>
  <c r="H154" i="19" a="1"/>
  <c r="H155" i="19" a="1"/>
  <c r="H156" i="19" a="1"/>
  <c r="H157" i="19" a="1"/>
  <c r="H158" i="19" a="1"/>
  <c r="H159" i="19" a="1"/>
  <c r="H160" i="19" a="1"/>
  <c r="H161" i="19" a="1"/>
  <c r="H162" i="19" a="1"/>
  <c r="H163" i="19" a="1"/>
  <c r="H164" i="19" a="1"/>
  <c r="H165" i="19" a="1"/>
  <c r="H166" i="19" a="1"/>
  <c r="H167" i="19" a="1"/>
  <c r="H168" i="19" a="1"/>
  <c r="H169" i="19" a="1"/>
  <c r="H170" i="19" a="1"/>
  <c r="H171" i="19" a="1"/>
  <c r="H172" i="19" a="1"/>
  <c r="H173" i="19" a="1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K13" i="19"/>
  <c r="L13" i="19"/>
  <c r="N13" i="19"/>
  <c r="H174" i="19" a="1"/>
  <c r="H174" i="19"/>
  <c r="H175" i="19" a="1"/>
  <c r="H176" i="19" a="1"/>
  <c r="H177" i="19" a="1"/>
  <c r="H178" i="19" a="1"/>
  <c r="H179" i="19" a="1"/>
  <c r="H180" i="19" a="1"/>
  <c r="H181" i="19" a="1"/>
  <c r="H182" i="19" a="1"/>
  <c r="H183" i="19" a="1"/>
  <c r="H184" i="19" a="1"/>
  <c r="H185" i="19" a="1"/>
  <c r="H186" i="19" a="1"/>
  <c r="H187" i="19" a="1"/>
  <c r="H188" i="19" a="1"/>
  <c r="H189" i="19" a="1"/>
  <c r="H190" i="19" a="1"/>
  <c r="H191" i="19" a="1"/>
  <c r="H192" i="19" a="1"/>
  <c r="H193" i="19" a="1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K14" i="19"/>
  <c r="L14" i="19"/>
  <c r="N14" i="19"/>
  <c r="H194" i="19" a="1"/>
  <c r="H194" i="19"/>
  <c r="H195" i="19" a="1"/>
  <c r="H196" i="19" a="1"/>
  <c r="H197" i="19" a="1"/>
  <c r="H198" i="19" a="1"/>
  <c r="H199" i="19" a="1"/>
  <c r="H200" i="19" a="1"/>
  <c r="H201" i="19" a="1"/>
  <c r="H202" i="19" a="1"/>
  <c r="H203" i="19" a="1"/>
  <c r="H204" i="19" a="1"/>
  <c r="H205" i="19" a="1"/>
  <c r="H206" i="19" a="1"/>
  <c r="H207" i="19" a="1"/>
  <c r="H208" i="19" a="1"/>
  <c r="H209" i="19" a="1"/>
  <c r="H210" i="19" a="1"/>
  <c r="H211" i="19" a="1"/>
  <c r="H212" i="19" a="1"/>
  <c r="H213" i="19" a="1"/>
  <c r="H214" i="19" a="1"/>
  <c r="H215" i="19" a="1"/>
  <c r="H216" i="19" a="1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214" i="19"/>
  <c r="H215" i="19"/>
  <c r="H216" i="19"/>
  <c r="K15" i="19"/>
  <c r="L15" i="19"/>
  <c r="N15" i="19"/>
  <c r="H217" i="19" a="1"/>
  <c r="H217" i="19"/>
  <c r="H218" i="19" a="1"/>
  <c r="H219" i="19" a="1"/>
  <c r="H220" i="19" a="1"/>
  <c r="H221" i="19" a="1"/>
  <c r="H222" i="19" a="1"/>
  <c r="H223" i="19" a="1"/>
  <c r="H224" i="19" a="1"/>
  <c r="H225" i="19" a="1"/>
  <c r="H226" i="19" a="1"/>
  <c r="H227" i="19" a="1"/>
  <c r="H228" i="19" a="1"/>
  <c r="H229" i="19" a="1"/>
  <c r="H230" i="19" a="1"/>
  <c r="H231" i="19" a="1"/>
  <c r="H232" i="19" a="1"/>
  <c r="H233" i="19" a="1"/>
  <c r="H234" i="19" a="1"/>
  <c r="H235" i="19" a="1"/>
  <c r="H236" i="19" a="1"/>
  <c r="H218" i="19"/>
  <c r="H219" i="19"/>
  <c r="H220" i="19"/>
  <c r="H221" i="19"/>
  <c r="H222" i="19"/>
  <c r="H223" i="19"/>
  <c r="H224" i="19"/>
  <c r="H225" i="19"/>
  <c r="H226" i="19"/>
  <c r="H227" i="19"/>
  <c r="H228" i="19"/>
  <c r="H229" i="19"/>
  <c r="H230" i="19"/>
  <c r="H231" i="19"/>
  <c r="H232" i="19"/>
  <c r="H233" i="19"/>
  <c r="H234" i="19"/>
  <c r="H235" i="19"/>
  <c r="H236" i="19"/>
  <c r="K16" i="19"/>
  <c r="L16" i="19"/>
  <c r="N16" i="19"/>
  <c r="H237" i="19" a="1"/>
  <c r="H237" i="19"/>
  <c r="H238" i="19" a="1"/>
  <c r="H239" i="19" a="1"/>
  <c r="H240" i="19" a="1"/>
  <c r="H241" i="19" a="1"/>
  <c r="H242" i="19" a="1"/>
  <c r="H243" i="19" a="1"/>
  <c r="H244" i="19" a="1"/>
  <c r="H245" i="19" a="1"/>
  <c r="H246" i="19" a="1"/>
  <c r="H247" i="19" a="1"/>
  <c r="H248" i="19" a="1"/>
  <c r="H249" i="19" a="1"/>
  <c r="H250" i="19" a="1"/>
  <c r="H251" i="19" a="1"/>
  <c r="H252" i="19" a="1"/>
  <c r="H253" i="19" a="1"/>
  <c r="H254" i="19" a="1"/>
  <c r="H255" i="19" a="1"/>
  <c r="H256" i="19" a="1"/>
  <c r="H257" i="19" a="1"/>
  <c r="H238" i="19"/>
  <c r="H239" i="19"/>
  <c r="H240" i="19"/>
  <c r="H241" i="19"/>
  <c r="H242" i="19"/>
  <c r="H243" i="19"/>
  <c r="H244" i="19"/>
  <c r="H245" i="19"/>
  <c r="H246" i="19"/>
  <c r="H247" i="19"/>
  <c r="H248" i="19"/>
  <c r="H249" i="19"/>
  <c r="H250" i="19"/>
  <c r="H251" i="19"/>
  <c r="H252" i="19"/>
  <c r="H253" i="19"/>
  <c r="H254" i="19"/>
  <c r="H255" i="19"/>
  <c r="H256" i="19"/>
  <c r="H257" i="19"/>
  <c r="K17" i="19"/>
  <c r="L17" i="19"/>
  <c r="N17" i="19"/>
  <c r="H258" i="19" a="1"/>
  <c r="H258" i="19"/>
  <c r="H259" i="19" a="1"/>
  <c r="H260" i="19" a="1"/>
  <c r="H261" i="19" a="1"/>
  <c r="H262" i="19" a="1"/>
  <c r="H263" i="19" a="1"/>
  <c r="H264" i="19" a="1"/>
  <c r="H265" i="19" a="1"/>
  <c r="H266" i="19" a="1"/>
  <c r="H267" i="19" a="1"/>
  <c r="H268" i="19" a="1"/>
  <c r="H269" i="19" a="1"/>
  <c r="H270" i="19" a="1"/>
  <c r="H271" i="19" a="1"/>
  <c r="H272" i="19" a="1"/>
  <c r="H273" i="19" a="1"/>
  <c r="H274" i="19" a="1"/>
  <c r="H275" i="19" a="1"/>
  <c r="H276" i="19" a="1"/>
  <c r="H277" i="19" a="1"/>
  <c r="H278" i="19" a="1"/>
  <c r="H259" i="19"/>
  <c r="H260" i="19"/>
  <c r="H261" i="19"/>
  <c r="H262" i="19"/>
  <c r="H263" i="19"/>
  <c r="H264" i="19"/>
  <c r="H265" i="19"/>
  <c r="H266" i="19"/>
  <c r="H267" i="19"/>
  <c r="H268" i="19"/>
  <c r="H269" i="19"/>
  <c r="H270" i="19"/>
  <c r="H271" i="19"/>
  <c r="H272" i="19"/>
  <c r="H273" i="19"/>
  <c r="H274" i="19"/>
  <c r="H275" i="19"/>
  <c r="H276" i="19"/>
  <c r="H277" i="19"/>
  <c r="H278" i="19"/>
  <c r="K18" i="19"/>
  <c r="L18" i="19"/>
  <c r="N18" i="19"/>
  <c r="H279" i="19" a="1"/>
  <c r="H279" i="19"/>
  <c r="H280" i="19" a="1"/>
  <c r="H281" i="19" a="1"/>
  <c r="H282" i="19" a="1"/>
  <c r="H283" i="19" a="1"/>
  <c r="H284" i="19" a="1"/>
  <c r="H285" i="19" a="1"/>
  <c r="H286" i="19" a="1"/>
  <c r="H287" i="19" a="1"/>
  <c r="H288" i="19" a="1"/>
  <c r="H289" i="19" a="1"/>
  <c r="H290" i="19" a="1"/>
  <c r="H291" i="19" a="1"/>
  <c r="H292" i="19" a="1"/>
  <c r="H293" i="19" a="1"/>
  <c r="H294" i="19" a="1"/>
  <c r="H295" i="19" a="1"/>
  <c r="H296" i="19" a="1"/>
  <c r="H297" i="19" a="1"/>
  <c r="H280" i="19"/>
  <c r="H281" i="19"/>
  <c r="H282" i="19"/>
  <c r="H283" i="19"/>
  <c r="H284" i="19"/>
  <c r="H285" i="19"/>
  <c r="H286" i="19"/>
  <c r="H287" i="19"/>
  <c r="H288" i="19"/>
  <c r="H289" i="19"/>
  <c r="H290" i="19"/>
  <c r="H291" i="19"/>
  <c r="H292" i="19"/>
  <c r="H293" i="19"/>
  <c r="H294" i="19"/>
  <c r="H295" i="19"/>
  <c r="H296" i="19"/>
  <c r="H297" i="19"/>
  <c r="K19" i="19"/>
  <c r="L19" i="19"/>
  <c r="N19" i="19"/>
  <c r="H298" i="19" a="1"/>
  <c r="H298" i="19"/>
  <c r="H299" i="19" a="1"/>
  <c r="H300" i="19" a="1"/>
  <c r="H301" i="19" a="1"/>
  <c r="H302" i="19" a="1"/>
  <c r="H303" i="19" a="1"/>
  <c r="H304" i="19" a="1"/>
  <c r="H305" i="19" a="1"/>
  <c r="H306" i="19" a="1"/>
  <c r="H307" i="19" a="1"/>
  <c r="H308" i="19" a="1"/>
  <c r="H309" i="19" a="1"/>
  <c r="H310" i="19" a="1"/>
  <c r="H311" i="19" a="1"/>
  <c r="H312" i="19" a="1"/>
  <c r="H313" i="19" a="1"/>
  <c r="H314" i="19" a="1"/>
  <c r="H315" i="19" a="1"/>
  <c r="H316" i="19" a="1"/>
  <c r="H317" i="19" a="1"/>
  <c r="H318" i="19" a="1"/>
  <c r="H299" i="19"/>
  <c r="H300" i="19"/>
  <c r="H301" i="19"/>
  <c r="H302" i="19"/>
  <c r="H303" i="19"/>
  <c r="H304" i="19"/>
  <c r="H305" i="19"/>
  <c r="H306" i="19"/>
  <c r="H307" i="19"/>
  <c r="H308" i="19"/>
  <c r="H309" i="19"/>
  <c r="H310" i="19"/>
  <c r="H311" i="19"/>
  <c r="H312" i="19"/>
  <c r="H313" i="19"/>
  <c r="H314" i="19"/>
  <c r="H315" i="19"/>
  <c r="H316" i="19"/>
  <c r="H317" i="19"/>
  <c r="H318" i="19"/>
  <c r="K20" i="19"/>
  <c r="L20" i="19"/>
  <c r="N20" i="19"/>
  <c r="H319" i="19" a="1"/>
  <c r="H319" i="19"/>
  <c r="H320" i="19" a="1"/>
  <c r="H321" i="19" a="1"/>
  <c r="H322" i="19" a="1"/>
  <c r="H323" i="19" a="1"/>
  <c r="H324" i="19" a="1"/>
  <c r="H325" i="19" a="1"/>
  <c r="H326" i="19" a="1"/>
  <c r="H327" i="19" a="1"/>
  <c r="H328" i="19" a="1"/>
  <c r="H329" i="19" a="1"/>
  <c r="H330" i="19" a="1"/>
  <c r="H331" i="19" a="1"/>
  <c r="H332" i="19" a="1"/>
  <c r="H333" i="19" a="1"/>
  <c r="H334" i="19" a="1"/>
  <c r="H335" i="19" a="1"/>
  <c r="H336" i="19" a="1"/>
  <c r="H337" i="19" a="1"/>
  <c r="H338" i="19" a="1"/>
  <c r="H339" i="19" a="1"/>
  <c r="H320" i="19"/>
  <c r="H321" i="19"/>
  <c r="H322" i="19"/>
  <c r="H323" i="19"/>
  <c r="H324" i="19"/>
  <c r="H325" i="19"/>
  <c r="H326" i="19"/>
  <c r="H327" i="19"/>
  <c r="H328" i="19"/>
  <c r="H329" i="19"/>
  <c r="H330" i="19"/>
  <c r="H331" i="19"/>
  <c r="H332" i="19"/>
  <c r="H333" i="19"/>
  <c r="H334" i="19"/>
  <c r="H335" i="19"/>
  <c r="H336" i="19"/>
  <c r="H337" i="19"/>
  <c r="H338" i="19"/>
  <c r="H339" i="19"/>
  <c r="K21" i="19"/>
  <c r="L21" i="19"/>
  <c r="N21" i="19"/>
  <c r="H340" i="19" a="1"/>
  <c r="H340" i="19"/>
  <c r="H341" i="19" a="1"/>
  <c r="H342" i="19" a="1"/>
  <c r="H343" i="19" a="1"/>
  <c r="H344" i="19" a="1"/>
  <c r="H345" i="19" a="1"/>
  <c r="H346" i="19" a="1"/>
  <c r="H347" i="19" a="1"/>
  <c r="H348" i="19" a="1"/>
  <c r="H349" i="19" a="1"/>
  <c r="H350" i="19" a="1"/>
  <c r="H351" i="19" a="1"/>
  <c r="H352" i="19" a="1"/>
  <c r="H353" i="19" a="1"/>
  <c r="H354" i="19" a="1"/>
  <c r="H355" i="19" a="1"/>
  <c r="H356" i="19" a="1"/>
  <c r="H357" i="19" a="1"/>
  <c r="H358" i="19" a="1"/>
  <c r="H359" i="19" a="1"/>
  <c r="H360" i="19" a="1"/>
  <c r="H341" i="19"/>
  <c r="H342" i="19"/>
  <c r="H343" i="19"/>
  <c r="H344" i="19"/>
  <c r="H345" i="19"/>
  <c r="H346" i="19"/>
  <c r="H347" i="19"/>
  <c r="H348" i="19"/>
  <c r="H349" i="19"/>
  <c r="H350" i="19"/>
  <c r="H351" i="19"/>
  <c r="H352" i="19"/>
  <c r="H353" i="19"/>
  <c r="H354" i="19"/>
  <c r="H355" i="19"/>
  <c r="H356" i="19"/>
  <c r="H357" i="19"/>
  <c r="H358" i="19"/>
  <c r="H359" i="19"/>
  <c r="H360" i="19"/>
  <c r="K22" i="19"/>
  <c r="L22" i="19"/>
  <c r="N22" i="19"/>
  <c r="H361" i="19" a="1"/>
  <c r="H361" i="19"/>
  <c r="H362" i="19" a="1"/>
  <c r="H363" i="19" a="1"/>
  <c r="H364" i="19" a="1"/>
  <c r="H365" i="19" a="1"/>
  <c r="H366" i="19" a="1"/>
  <c r="H367" i="19" a="1"/>
  <c r="H368" i="19" a="1"/>
  <c r="H369" i="19" a="1"/>
  <c r="H370" i="19" a="1"/>
  <c r="H371" i="19" a="1"/>
  <c r="H372" i="19" a="1"/>
  <c r="H373" i="19" a="1"/>
  <c r="H374" i="19" a="1"/>
  <c r="H375" i="19" a="1"/>
  <c r="H376" i="19" a="1"/>
  <c r="H377" i="19" a="1"/>
  <c r="H378" i="19" a="1"/>
  <c r="H379" i="19" a="1"/>
  <c r="H380" i="19" a="1"/>
  <c r="H381" i="19" a="1"/>
  <c r="H362" i="19"/>
  <c r="H363" i="19"/>
  <c r="H364" i="19"/>
  <c r="H365" i="19"/>
  <c r="H366" i="19"/>
  <c r="H367" i="19"/>
  <c r="H368" i="19"/>
  <c r="H369" i="19"/>
  <c r="H370" i="19"/>
  <c r="H371" i="19"/>
  <c r="H372" i="19"/>
  <c r="H373" i="19"/>
  <c r="H374" i="19"/>
  <c r="H375" i="19"/>
  <c r="H376" i="19"/>
  <c r="H377" i="19"/>
  <c r="H378" i="19"/>
  <c r="H379" i="19"/>
  <c r="H380" i="19"/>
  <c r="H381" i="19"/>
  <c r="K23" i="19"/>
  <c r="L23" i="19"/>
  <c r="N23" i="19"/>
  <c r="H382" i="19" a="1"/>
  <c r="H382" i="19"/>
  <c r="H383" i="19" a="1"/>
  <c r="H384" i="19" a="1"/>
  <c r="H385" i="19" a="1"/>
  <c r="H386" i="19" a="1"/>
  <c r="H387" i="19" a="1"/>
  <c r="H388" i="19" a="1"/>
  <c r="H389" i="19" a="1"/>
  <c r="H390" i="19" a="1"/>
  <c r="H391" i="19" a="1"/>
  <c r="H392" i="19" a="1"/>
  <c r="H393" i="19" a="1"/>
  <c r="H394" i="19" a="1"/>
  <c r="H395" i="19" a="1"/>
  <c r="H396" i="19" a="1"/>
  <c r="H397" i="19" a="1"/>
  <c r="H398" i="19" a="1"/>
  <c r="H399" i="19" a="1"/>
  <c r="H400" i="19" a="1"/>
  <c r="H401" i="19" a="1"/>
  <c r="H402" i="19" a="1"/>
  <c r="H403" i="19" a="1"/>
  <c r="H383" i="19"/>
  <c r="H384" i="19"/>
  <c r="H385" i="19"/>
  <c r="H386" i="19"/>
  <c r="H387" i="19"/>
  <c r="H388" i="19"/>
  <c r="H389" i="19"/>
  <c r="H390" i="19"/>
  <c r="H391" i="19"/>
  <c r="H392" i="19"/>
  <c r="H393" i="19"/>
  <c r="H394" i="19"/>
  <c r="H395" i="19"/>
  <c r="H396" i="19"/>
  <c r="H397" i="19"/>
  <c r="H398" i="19"/>
  <c r="H399" i="19"/>
  <c r="H400" i="19"/>
  <c r="H401" i="19"/>
  <c r="H402" i="19"/>
  <c r="H403" i="19"/>
  <c r="K24" i="19"/>
  <c r="L24" i="19"/>
  <c r="N24" i="19"/>
  <c r="H404" i="19" a="1"/>
  <c r="H404" i="19"/>
  <c r="H405" i="19" a="1"/>
  <c r="H406" i="19" a="1"/>
  <c r="H407" i="19" a="1"/>
  <c r="H408" i="19" a="1"/>
  <c r="H409" i="19" a="1"/>
  <c r="H410" i="19" a="1"/>
  <c r="H411" i="19" a="1"/>
  <c r="H412" i="19" a="1"/>
  <c r="H413" i="19" a="1"/>
  <c r="H414" i="19" a="1"/>
  <c r="H415" i="19" a="1"/>
  <c r="H416" i="19" a="1"/>
  <c r="H417" i="19" a="1"/>
  <c r="H418" i="19" a="1"/>
  <c r="H419" i="19" a="1"/>
  <c r="H420" i="19" a="1"/>
  <c r="H421" i="19" a="1"/>
  <c r="H422" i="19" a="1"/>
  <c r="H423" i="19" a="1"/>
  <c r="H424" i="19" a="1"/>
  <c r="H405" i="19"/>
  <c r="H406" i="19"/>
  <c r="H407" i="19"/>
  <c r="H408" i="19"/>
  <c r="H409" i="19"/>
  <c r="H410" i="19"/>
  <c r="H411" i="19"/>
  <c r="H412" i="19"/>
  <c r="H413" i="19"/>
  <c r="H414" i="19"/>
  <c r="H415" i="19"/>
  <c r="H416" i="19"/>
  <c r="H417" i="19"/>
  <c r="H418" i="19"/>
  <c r="H419" i="19"/>
  <c r="H420" i="19"/>
  <c r="H421" i="19"/>
  <c r="H422" i="19"/>
  <c r="H423" i="19"/>
  <c r="H424" i="19"/>
  <c r="K25" i="19"/>
  <c r="L25" i="19"/>
  <c r="N25" i="19"/>
  <c r="H425" i="19" a="1"/>
  <c r="H425" i="19"/>
  <c r="H426" i="19" a="1"/>
  <c r="H427" i="19" a="1"/>
  <c r="H428" i="19" a="1"/>
  <c r="H429" i="19" a="1"/>
  <c r="H430" i="19" a="1"/>
  <c r="H431" i="19" a="1"/>
  <c r="H432" i="19" a="1"/>
  <c r="H433" i="19" a="1"/>
  <c r="H434" i="19" a="1"/>
  <c r="H435" i="19" a="1"/>
  <c r="H436" i="19" a="1"/>
  <c r="H437" i="19" a="1"/>
  <c r="H438" i="19" a="1"/>
  <c r="H439" i="19" a="1"/>
  <c r="H440" i="19" a="1"/>
  <c r="H441" i="19" a="1"/>
  <c r="H442" i="19" a="1"/>
  <c r="H443" i="19" a="1"/>
  <c r="H444" i="19" a="1"/>
  <c r="H445" i="19" a="1"/>
  <c r="H426" i="19"/>
  <c r="H427" i="19"/>
  <c r="H428" i="19"/>
  <c r="H429" i="19"/>
  <c r="H430" i="19"/>
  <c r="H431" i="19"/>
  <c r="H432" i="19"/>
  <c r="H433" i="19"/>
  <c r="H434" i="19"/>
  <c r="H435" i="19"/>
  <c r="H436" i="19"/>
  <c r="H437" i="19"/>
  <c r="H438" i="19"/>
  <c r="H439" i="19"/>
  <c r="H440" i="19"/>
  <c r="H441" i="19"/>
  <c r="H442" i="19"/>
  <c r="H443" i="19"/>
  <c r="H444" i="19"/>
  <c r="H445" i="19"/>
  <c r="K26" i="19"/>
  <c r="L26" i="19"/>
  <c r="N26" i="19"/>
  <c r="H446" i="19" a="1"/>
  <c r="H446" i="19"/>
  <c r="H447" i="19" a="1"/>
  <c r="H448" i="19" a="1"/>
  <c r="H449" i="19" a="1"/>
  <c r="H450" i="19" a="1"/>
  <c r="H451" i="19" a="1"/>
  <c r="H452" i="19" a="1"/>
  <c r="H453" i="19" a="1"/>
  <c r="H454" i="19" a="1"/>
  <c r="H455" i="19" a="1"/>
  <c r="H456" i="19" a="1"/>
  <c r="H457" i="19" a="1"/>
  <c r="H458" i="19" a="1"/>
  <c r="H459" i="19" a="1"/>
  <c r="H460" i="19" a="1"/>
  <c r="H461" i="19" a="1"/>
  <c r="H462" i="19" a="1"/>
  <c r="H463" i="19" a="1"/>
  <c r="H464" i="19" a="1"/>
  <c r="H465" i="19" a="1"/>
  <c r="H466" i="19" a="1"/>
  <c r="H467" i="19" a="1"/>
  <c r="H468" i="19" a="1"/>
  <c r="H447" i="19"/>
  <c r="H448" i="19"/>
  <c r="H449" i="19"/>
  <c r="H450" i="19"/>
  <c r="H451" i="19"/>
  <c r="H452" i="19"/>
  <c r="H453" i="19"/>
  <c r="H454" i="19"/>
  <c r="H455" i="19"/>
  <c r="H456" i="19"/>
  <c r="H457" i="19"/>
  <c r="H458" i="19"/>
  <c r="H459" i="19"/>
  <c r="H460" i="19"/>
  <c r="H461" i="19"/>
  <c r="H462" i="19"/>
  <c r="H463" i="19"/>
  <c r="H464" i="19"/>
  <c r="H465" i="19"/>
  <c r="H466" i="19"/>
  <c r="H467" i="19"/>
  <c r="H468" i="19"/>
  <c r="K27" i="19"/>
  <c r="L27" i="19"/>
  <c r="N27" i="19"/>
  <c r="H469" i="19" a="1"/>
  <c r="H469" i="19"/>
  <c r="H470" i="19" a="1"/>
  <c r="H471" i="19" a="1"/>
  <c r="H472" i="19" a="1"/>
  <c r="H473" i="19" a="1"/>
  <c r="H474" i="19" a="1"/>
  <c r="H475" i="19" a="1"/>
  <c r="H476" i="19" a="1"/>
  <c r="H477" i="19" a="1"/>
  <c r="H478" i="19" a="1"/>
  <c r="H479" i="19" a="1"/>
  <c r="H480" i="19" a="1"/>
  <c r="H481" i="19" a="1"/>
  <c r="H482" i="19" a="1"/>
  <c r="H483" i="19" a="1"/>
  <c r="H484" i="19" a="1"/>
  <c r="H485" i="19" a="1"/>
  <c r="H486" i="19" a="1"/>
  <c r="H487" i="19" a="1"/>
  <c r="H470" i="19"/>
  <c r="H471" i="19"/>
  <c r="H472" i="19"/>
  <c r="H473" i="19"/>
  <c r="H474" i="19"/>
  <c r="H475" i="19"/>
  <c r="H476" i="19"/>
  <c r="H477" i="19"/>
  <c r="H478" i="19"/>
  <c r="H479" i="19"/>
  <c r="H480" i="19"/>
  <c r="H481" i="19"/>
  <c r="H482" i="19"/>
  <c r="H483" i="19"/>
  <c r="H484" i="19"/>
  <c r="H485" i="19"/>
  <c r="H486" i="19"/>
  <c r="H487" i="19"/>
  <c r="K28" i="19"/>
  <c r="L28" i="19"/>
  <c r="N28" i="19"/>
  <c r="H488" i="19" a="1"/>
  <c r="H488" i="19"/>
  <c r="H489" i="19" a="1"/>
  <c r="H490" i="19" a="1"/>
  <c r="H491" i="19" a="1"/>
  <c r="H492" i="19" a="1"/>
  <c r="H493" i="19" a="1"/>
  <c r="H494" i="19" a="1"/>
  <c r="H495" i="19" a="1"/>
  <c r="H496" i="19" a="1"/>
  <c r="H497" i="19" a="1"/>
  <c r="H498" i="19" a="1"/>
  <c r="H499" i="19" a="1"/>
  <c r="H500" i="19" a="1"/>
  <c r="H501" i="19" a="1"/>
  <c r="H502" i="19" a="1"/>
  <c r="H503" i="19" a="1"/>
  <c r="H504" i="19" a="1"/>
  <c r="H505" i="19" a="1"/>
  <c r="H506" i="19" a="1"/>
  <c r="H507" i="19" a="1"/>
  <c r="H508" i="19" a="1"/>
  <c r="H509" i="19" a="1"/>
  <c r="H489" i="19"/>
  <c r="H490" i="19"/>
  <c r="H491" i="19"/>
  <c r="H492" i="19"/>
  <c r="H493" i="19"/>
  <c r="H494" i="19"/>
  <c r="H495" i="19"/>
  <c r="H496" i="19"/>
  <c r="H497" i="19"/>
  <c r="H498" i="19"/>
  <c r="H499" i="19"/>
  <c r="H500" i="19"/>
  <c r="H501" i="19"/>
  <c r="H502" i="19"/>
  <c r="H503" i="19"/>
  <c r="H504" i="19"/>
  <c r="H505" i="19"/>
  <c r="H506" i="19"/>
  <c r="H507" i="19"/>
  <c r="H508" i="19"/>
  <c r="H509" i="19"/>
  <c r="K29" i="19"/>
  <c r="L29" i="19"/>
  <c r="N29" i="19"/>
  <c r="H510" i="19" a="1"/>
  <c r="H510" i="19"/>
  <c r="H511" i="19" a="1"/>
  <c r="H512" i="19" a="1"/>
  <c r="H513" i="19" a="1"/>
  <c r="H514" i="19" a="1"/>
  <c r="H515" i="19" a="1"/>
  <c r="H516" i="19" a="1"/>
  <c r="H517" i="19" a="1"/>
  <c r="H518" i="19" a="1"/>
  <c r="H519" i="19" a="1"/>
  <c r="H520" i="19" a="1"/>
  <c r="H521" i="19" a="1"/>
  <c r="H522" i="19" a="1"/>
  <c r="H523" i="19" a="1"/>
  <c r="H524" i="19" a="1"/>
  <c r="H525" i="19" a="1"/>
  <c r="H526" i="19" a="1"/>
  <c r="H527" i="19" a="1"/>
  <c r="H528" i="19" a="1"/>
  <c r="H529" i="19" a="1"/>
  <c r="H511" i="19"/>
  <c r="H512" i="19"/>
  <c r="H513" i="19"/>
  <c r="H514" i="19"/>
  <c r="H515" i="19"/>
  <c r="H516" i="19"/>
  <c r="H517" i="19"/>
  <c r="H518" i="19"/>
  <c r="H519" i="19"/>
  <c r="H520" i="19"/>
  <c r="H521" i="19"/>
  <c r="H522" i="19"/>
  <c r="H523" i="19"/>
  <c r="H524" i="19"/>
  <c r="H525" i="19"/>
  <c r="H526" i="19"/>
  <c r="H527" i="19"/>
  <c r="H528" i="19"/>
  <c r="H529" i="19"/>
  <c r="K30" i="19"/>
  <c r="L30" i="19"/>
  <c r="N30" i="19"/>
  <c r="H530" i="19" a="1"/>
  <c r="H530" i="19"/>
  <c r="H531" i="19" a="1"/>
  <c r="H532" i="19" a="1"/>
  <c r="H533" i="19" a="1"/>
  <c r="H534" i="19" a="1"/>
  <c r="H535" i="19" a="1"/>
  <c r="H536" i="19" a="1"/>
  <c r="H537" i="19" a="1"/>
  <c r="H538" i="19" a="1"/>
  <c r="H539" i="19" a="1"/>
  <c r="H540" i="19" a="1"/>
  <c r="H541" i="19" a="1"/>
  <c r="H542" i="19" a="1"/>
  <c r="H543" i="19" a="1"/>
  <c r="H544" i="19" a="1"/>
  <c r="H545" i="19" a="1"/>
  <c r="H546" i="19" a="1"/>
  <c r="H547" i="19" a="1"/>
  <c r="H548" i="19" a="1"/>
  <c r="H531" i="19"/>
  <c r="H532" i="19"/>
  <c r="H533" i="19"/>
  <c r="H534" i="19"/>
  <c r="H535" i="19"/>
  <c r="H536" i="19"/>
  <c r="H537" i="19"/>
  <c r="H538" i="19"/>
  <c r="H539" i="19"/>
  <c r="H540" i="19"/>
  <c r="H541" i="19"/>
  <c r="H542" i="19"/>
  <c r="H543" i="19"/>
  <c r="H544" i="19"/>
  <c r="H545" i="19"/>
  <c r="H546" i="19"/>
  <c r="H547" i="19"/>
  <c r="H548" i="19"/>
  <c r="K31" i="19"/>
  <c r="L31" i="19"/>
  <c r="N31" i="19"/>
  <c r="H549" i="19" a="1"/>
  <c r="H549" i="19"/>
  <c r="H550" i="19" a="1"/>
  <c r="H551" i="19" a="1"/>
  <c r="H552" i="19" a="1"/>
  <c r="H553" i="19" a="1"/>
  <c r="H554" i="19" a="1"/>
  <c r="H555" i="19" a="1"/>
  <c r="H556" i="19" a="1"/>
  <c r="H557" i="19" a="1"/>
  <c r="H558" i="19" a="1"/>
  <c r="H559" i="19" a="1"/>
  <c r="H560" i="19" a="1"/>
  <c r="H561" i="19" a="1"/>
  <c r="H562" i="19" a="1"/>
  <c r="H563" i="19" a="1"/>
  <c r="H564" i="19" a="1"/>
  <c r="H565" i="19" a="1"/>
  <c r="H566" i="19" a="1"/>
  <c r="H567" i="19" a="1"/>
  <c r="H568" i="19" a="1"/>
  <c r="H569" i="19" a="1"/>
  <c r="H570" i="19" a="1"/>
  <c r="H550" i="19"/>
  <c r="H551" i="19"/>
  <c r="H552" i="19"/>
  <c r="H553" i="19"/>
  <c r="H554" i="19"/>
  <c r="H555" i="19"/>
  <c r="H556" i="19"/>
  <c r="H557" i="19"/>
  <c r="H558" i="19"/>
  <c r="H559" i="19"/>
  <c r="H560" i="19"/>
  <c r="H561" i="19"/>
  <c r="H562" i="19"/>
  <c r="H563" i="19"/>
  <c r="H564" i="19"/>
  <c r="H565" i="19"/>
  <c r="H566" i="19"/>
  <c r="H567" i="19"/>
  <c r="H568" i="19"/>
  <c r="H569" i="19"/>
  <c r="H570" i="19"/>
  <c r="K32" i="19"/>
  <c r="L32" i="19"/>
  <c r="N32" i="19"/>
  <c r="H571" i="19" a="1"/>
  <c r="H571" i="19"/>
  <c r="H572" i="19" a="1"/>
  <c r="H573" i="19" a="1"/>
  <c r="H574" i="19" a="1"/>
  <c r="H575" i="19" a="1"/>
  <c r="H576" i="19" a="1"/>
  <c r="H577" i="19" a="1"/>
  <c r="H578" i="19" a="1"/>
  <c r="H579" i="19" a="1"/>
  <c r="H580" i="19" a="1"/>
  <c r="H581" i="19" a="1"/>
  <c r="H582" i="19" a="1"/>
  <c r="H583" i="19" a="1"/>
  <c r="H584" i="19" a="1"/>
  <c r="H585" i="19" a="1"/>
  <c r="H586" i="19" a="1"/>
  <c r="H587" i="19" a="1"/>
  <c r="H588" i="19" a="1"/>
  <c r="H589" i="19" a="1"/>
  <c r="H590" i="19" a="1"/>
  <c r="H591" i="19" a="1"/>
  <c r="H572" i="19"/>
  <c r="H573" i="19"/>
  <c r="H574" i="19"/>
  <c r="H575" i="19"/>
  <c r="H576" i="19"/>
  <c r="H577" i="19"/>
  <c r="H578" i="19"/>
  <c r="H579" i="19"/>
  <c r="H580" i="19"/>
  <c r="H581" i="19"/>
  <c r="H582" i="19"/>
  <c r="H583" i="19"/>
  <c r="H584" i="19"/>
  <c r="H585" i="19"/>
  <c r="H586" i="19"/>
  <c r="H587" i="19"/>
  <c r="H588" i="19"/>
  <c r="H589" i="19"/>
  <c r="H590" i="19"/>
  <c r="H591" i="19"/>
  <c r="K33" i="19"/>
  <c r="L33" i="19"/>
  <c r="N33" i="19"/>
  <c r="H592" i="19" a="1"/>
  <c r="H592" i="19"/>
  <c r="H593" i="19" a="1"/>
  <c r="H594" i="19" a="1"/>
  <c r="H595" i="19" a="1"/>
  <c r="H596" i="19" a="1"/>
  <c r="H597" i="19" a="1"/>
  <c r="H598" i="19" a="1"/>
  <c r="H599" i="19" a="1"/>
  <c r="H600" i="19" a="1"/>
  <c r="H601" i="19" a="1"/>
  <c r="H602" i="19" a="1"/>
  <c r="H603" i="19" a="1"/>
  <c r="H604" i="19" a="1"/>
  <c r="H605" i="19" a="1"/>
  <c r="H606" i="19" a="1"/>
  <c r="H607" i="19" a="1"/>
  <c r="H608" i="19" a="1"/>
  <c r="H609" i="19" a="1"/>
  <c r="H610" i="19" a="1"/>
  <c r="H611" i="19" a="1"/>
  <c r="H593" i="19"/>
  <c r="H594" i="19"/>
  <c r="H595" i="19"/>
  <c r="H596" i="19"/>
  <c r="H597" i="19"/>
  <c r="H598" i="19"/>
  <c r="H599" i="19"/>
  <c r="H600" i="19"/>
  <c r="H601" i="19"/>
  <c r="H602" i="19"/>
  <c r="H603" i="19"/>
  <c r="H604" i="19"/>
  <c r="H605" i="19"/>
  <c r="H606" i="19"/>
  <c r="H607" i="19"/>
  <c r="H608" i="19"/>
  <c r="H609" i="19"/>
  <c r="H610" i="19"/>
  <c r="H611" i="19"/>
  <c r="K34" i="19"/>
  <c r="L34" i="19"/>
  <c r="N34" i="19"/>
  <c r="H612" i="19" a="1"/>
  <c r="H612" i="19"/>
  <c r="H613" i="19" a="1"/>
  <c r="H614" i="19" a="1"/>
  <c r="H615" i="19" a="1"/>
  <c r="H616" i="19" a="1"/>
  <c r="H617" i="19" a="1"/>
  <c r="H618" i="19" a="1"/>
  <c r="H619" i="19" a="1"/>
  <c r="H620" i="19" a="1"/>
  <c r="H621" i="19" a="1"/>
  <c r="H622" i="19" a="1"/>
  <c r="H623" i="19" a="1"/>
  <c r="H624" i="19" a="1"/>
  <c r="H625" i="19" a="1"/>
  <c r="H626" i="19" a="1"/>
  <c r="H627" i="19" a="1"/>
  <c r="H628" i="19" a="1"/>
  <c r="H629" i="19" a="1"/>
  <c r="H630" i="19" a="1"/>
  <c r="H631" i="19" a="1"/>
  <c r="H632" i="19" a="1"/>
  <c r="H633" i="19" a="1"/>
  <c r="H613" i="19"/>
  <c r="H614" i="19"/>
  <c r="H615" i="19"/>
  <c r="H616" i="19"/>
  <c r="H617" i="19"/>
  <c r="H618" i="19"/>
  <c r="H619" i="19"/>
  <c r="H620" i="19"/>
  <c r="H621" i="19"/>
  <c r="H622" i="19"/>
  <c r="H623" i="19"/>
  <c r="H624" i="19"/>
  <c r="H625" i="19"/>
  <c r="H626" i="19"/>
  <c r="H627" i="19"/>
  <c r="H628" i="19"/>
  <c r="H629" i="19"/>
  <c r="H630" i="19"/>
  <c r="H631" i="19"/>
  <c r="H632" i="19"/>
  <c r="H633" i="19"/>
  <c r="K35" i="19"/>
  <c r="L35" i="19"/>
  <c r="N35" i="19"/>
  <c r="H634" i="19" a="1"/>
  <c r="H634" i="19"/>
  <c r="H635" i="19" a="1"/>
  <c r="H636" i="19" a="1"/>
  <c r="H637" i="19" a="1"/>
  <c r="H638" i="19" a="1"/>
  <c r="H639" i="19" a="1"/>
  <c r="H640" i="19" a="1"/>
  <c r="H641" i="19" a="1"/>
  <c r="H642" i="19" a="1"/>
  <c r="H643" i="19" a="1"/>
  <c r="H644" i="19" a="1"/>
  <c r="H645" i="19" a="1"/>
  <c r="H646" i="19" a="1"/>
  <c r="H647" i="19" a="1"/>
  <c r="H648" i="19" a="1"/>
  <c r="H649" i="19" a="1"/>
  <c r="H650" i="19" a="1"/>
  <c r="H651" i="19" a="1"/>
  <c r="H652" i="19" a="1"/>
  <c r="H653" i="19" a="1"/>
  <c r="H654" i="19" a="1"/>
  <c r="H655" i="19" a="1"/>
  <c r="H635" i="19"/>
  <c r="H636" i="19"/>
  <c r="H637" i="19"/>
  <c r="H638" i="19"/>
  <c r="H639" i="19"/>
  <c r="H640" i="19"/>
  <c r="H641" i="19"/>
  <c r="H642" i="19"/>
  <c r="H643" i="19"/>
  <c r="H644" i="19"/>
  <c r="H645" i="19"/>
  <c r="H646" i="19"/>
  <c r="H647" i="19"/>
  <c r="H648" i="19"/>
  <c r="H649" i="19"/>
  <c r="H650" i="19"/>
  <c r="H651" i="19"/>
  <c r="H652" i="19"/>
  <c r="H653" i="19"/>
  <c r="H654" i="19"/>
  <c r="H655" i="19"/>
  <c r="K36" i="19"/>
  <c r="L36" i="19"/>
  <c r="N36" i="19"/>
  <c r="H656" i="19" a="1"/>
  <c r="H656" i="19"/>
  <c r="H657" i="19" a="1"/>
  <c r="H658" i="19" a="1"/>
  <c r="H659" i="19" a="1"/>
  <c r="H660" i="19" a="1"/>
  <c r="H661" i="19" a="1"/>
  <c r="H662" i="19" a="1"/>
  <c r="H663" i="19" a="1"/>
  <c r="H664" i="19" a="1"/>
  <c r="H665" i="19" a="1"/>
  <c r="H666" i="19" a="1"/>
  <c r="H667" i="19" a="1"/>
  <c r="H668" i="19" a="1"/>
  <c r="H669" i="19" a="1"/>
  <c r="H670" i="19" a="1"/>
  <c r="H671" i="19" a="1"/>
  <c r="H672" i="19" a="1"/>
  <c r="H673" i="19" a="1"/>
  <c r="H674" i="19" a="1"/>
  <c r="H675" i="19" a="1"/>
  <c r="H657" i="19"/>
  <c r="H658" i="19"/>
  <c r="H659" i="19"/>
  <c r="H660" i="19"/>
  <c r="H661" i="19"/>
  <c r="H662" i="19"/>
  <c r="H663" i="19"/>
  <c r="H664" i="19"/>
  <c r="H665" i="19"/>
  <c r="H666" i="19"/>
  <c r="H667" i="19"/>
  <c r="H668" i="19"/>
  <c r="H669" i="19"/>
  <c r="H670" i="19"/>
  <c r="H671" i="19"/>
  <c r="H672" i="19"/>
  <c r="H673" i="19"/>
  <c r="H674" i="19"/>
  <c r="H675" i="19"/>
  <c r="K37" i="19"/>
  <c r="L37" i="19"/>
  <c r="N37" i="19"/>
  <c r="H676" i="19" a="1"/>
  <c r="H676" i="19"/>
  <c r="H677" i="19" a="1"/>
  <c r="H678" i="19" a="1"/>
  <c r="H679" i="19" a="1"/>
  <c r="H680" i="19" a="1"/>
  <c r="H681" i="19" a="1"/>
  <c r="H682" i="19" a="1"/>
  <c r="H683" i="19" a="1"/>
  <c r="H684" i="19" a="1"/>
  <c r="H685" i="19" a="1"/>
  <c r="H686" i="19" a="1"/>
  <c r="H687" i="19" a="1"/>
  <c r="H688" i="19" a="1"/>
  <c r="H689" i="19" a="1"/>
  <c r="H690" i="19" a="1"/>
  <c r="H691" i="19" a="1"/>
  <c r="H692" i="19" a="1"/>
  <c r="H693" i="19" a="1"/>
  <c r="H694" i="19" a="1"/>
  <c r="H695" i="19" a="1"/>
  <c r="H696" i="19" a="1"/>
  <c r="H677" i="19"/>
  <c r="H678" i="19"/>
  <c r="H679" i="19"/>
  <c r="H680" i="19"/>
  <c r="H681" i="19"/>
  <c r="H682" i="19"/>
  <c r="H683" i="19"/>
  <c r="H684" i="19"/>
  <c r="H685" i="19"/>
  <c r="H686" i="19"/>
  <c r="H687" i="19"/>
  <c r="H688" i="19"/>
  <c r="H689" i="19"/>
  <c r="H690" i="19"/>
  <c r="H691" i="19"/>
  <c r="H692" i="19"/>
  <c r="H693" i="19"/>
  <c r="H694" i="19"/>
  <c r="H695" i="19"/>
  <c r="H696" i="19"/>
  <c r="K38" i="19"/>
  <c r="L38" i="19"/>
  <c r="N38" i="19"/>
  <c r="H697" i="19" a="1"/>
  <c r="H697" i="19"/>
  <c r="H698" i="19" a="1"/>
  <c r="H699" i="19" a="1"/>
  <c r="H700" i="19" a="1"/>
  <c r="H701" i="19" a="1"/>
  <c r="H702" i="19" a="1"/>
  <c r="H703" i="19" a="1"/>
  <c r="H704" i="19" a="1"/>
  <c r="H705" i="19" a="1"/>
  <c r="H706" i="19" a="1"/>
  <c r="H707" i="19" a="1"/>
  <c r="H708" i="19" a="1"/>
  <c r="H709" i="19" a="1"/>
  <c r="H710" i="19" a="1"/>
  <c r="H711" i="19" a="1"/>
  <c r="H712" i="19" a="1"/>
  <c r="H713" i="19" a="1"/>
  <c r="H714" i="19" a="1"/>
  <c r="H715" i="19" a="1"/>
  <c r="H716" i="19" a="1"/>
  <c r="H717" i="19" a="1"/>
  <c r="H718" i="19" a="1"/>
  <c r="H698" i="19"/>
  <c r="H699" i="19"/>
  <c r="H700" i="19"/>
  <c r="H701" i="19"/>
  <c r="H702" i="19"/>
  <c r="H703" i="19"/>
  <c r="H704" i="19"/>
  <c r="H705" i="19"/>
  <c r="H706" i="19"/>
  <c r="H707" i="19"/>
  <c r="H708" i="19"/>
  <c r="H709" i="19"/>
  <c r="H710" i="19"/>
  <c r="H711" i="19"/>
  <c r="H712" i="19"/>
  <c r="H713" i="19"/>
  <c r="H714" i="19"/>
  <c r="H715" i="19"/>
  <c r="H716" i="19"/>
  <c r="H717" i="19"/>
  <c r="H718" i="19"/>
  <c r="K39" i="19"/>
  <c r="L39" i="19"/>
  <c r="N39" i="19"/>
  <c r="H719" i="19" a="1"/>
  <c r="H719" i="19"/>
  <c r="H720" i="19" a="1"/>
  <c r="H721" i="19" a="1"/>
  <c r="H722" i="19" a="1"/>
  <c r="H723" i="19" a="1"/>
  <c r="H724" i="19" a="1"/>
  <c r="H725" i="19" a="1"/>
  <c r="H726" i="19" a="1"/>
  <c r="H727" i="19" a="1"/>
  <c r="H728" i="19" a="1"/>
  <c r="H729" i="19" a="1"/>
  <c r="H730" i="19" a="1"/>
  <c r="H731" i="19" a="1"/>
  <c r="H732" i="19" a="1"/>
  <c r="H733" i="19" a="1"/>
  <c r="H734" i="19" a="1"/>
  <c r="H735" i="19" a="1"/>
  <c r="H736" i="19" a="1"/>
  <c r="H737" i="19" a="1"/>
  <c r="H738" i="19" a="1"/>
  <c r="H720" i="19"/>
  <c r="H721" i="19"/>
  <c r="H722" i="19"/>
  <c r="H723" i="19"/>
  <c r="H724" i="19"/>
  <c r="H725" i="19"/>
  <c r="H726" i="19"/>
  <c r="H727" i="19"/>
  <c r="H728" i="19"/>
  <c r="H729" i="19"/>
  <c r="H730" i="19"/>
  <c r="H731" i="19"/>
  <c r="H732" i="19"/>
  <c r="H733" i="19"/>
  <c r="H734" i="19"/>
  <c r="H735" i="19"/>
  <c r="H736" i="19"/>
  <c r="H737" i="19"/>
  <c r="H738" i="19"/>
  <c r="K40" i="19"/>
  <c r="L40" i="19"/>
  <c r="N40" i="19"/>
  <c r="H739" i="19" a="1"/>
  <c r="H739" i="19"/>
  <c r="H740" i="19" a="1"/>
  <c r="H741" i="19" a="1"/>
  <c r="H742" i="19" a="1"/>
  <c r="H743" i="19" a="1"/>
  <c r="H744" i="19" a="1"/>
  <c r="H745" i="19" a="1"/>
  <c r="H746" i="19" a="1"/>
  <c r="H747" i="19" a="1"/>
  <c r="H748" i="19" a="1"/>
  <c r="H749" i="19" a="1"/>
  <c r="H750" i="19" a="1"/>
  <c r="H751" i="19" a="1"/>
  <c r="H752" i="19" a="1"/>
  <c r="H753" i="19" a="1"/>
  <c r="H754" i="19" a="1"/>
  <c r="H755" i="19" a="1"/>
  <c r="H756" i="19" a="1"/>
  <c r="H757" i="19" a="1"/>
  <c r="H758" i="19" a="1"/>
  <c r="H759" i="19" a="1"/>
  <c r="H760" i="19" a="1"/>
  <c r="H740" i="19"/>
  <c r="H741" i="19"/>
  <c r="H742" i="19"/>
  <c r="H743" i="19"/>
  <c r="H744" i="19"/>
  <c r="H745" i="19"/>
  <c r="H746" i="19"/>
  <c r="H747" i="19"/>
  <c r="H748" i="19"/>
  <c r="H749" i="19"/>
  <c r="H750" i="19"/>
  <c r="H751" i="19"/>
  <c r="H752" i="19"/>
  <c r="H753" i="19"/>
  <c r="H754" i="19"/>
  <c r="H755" i="19"/>
  <c r="H756" i="19"/>
  <c r="H757" i="19"/>
  <c r="H758" i="19"/>
  <c r="H759" i="19"/>
  <c r="H760" i="19"/>
  <c r="K41" i="19"/>
  <c r="L41" i="19"/>
  <c r="N41" i="19"/>
  <c r="H761" i="19" a="1"/>
  <c r="H761" i="19"/>
  <c r="H762" i="19" a="1"/>
  <c r="H763" i="19" a="1"/>
  <c r="H764" i="19" a="1"/>
  <c r="H765" i="19" a="1"/>
  <c r="H766" i="19" a="1"/>
  <c r="H767" i="19" a="1"/>
  <c r="H768" i="19" a="1"/>
  <c r="H769" i="19" a="1"/>
  <c r="H770" i="19" a="1"/>
  <c r="H771" i="19" a="1"/>
  <c r="H772" i="19" a="1"/>
  <c r="H773" i="19" a="1"/>
  <c r="H774" i="19" a="1"/>
  <c r="H775" i="19" a="1"/>
  <c r="H776" i="19" a="1"/>
  <c r="H777" i="19" a="1"/>
  <c r="H778" i="19" a="1"/>
  <c r="H779" i="19" a="1"/>
  <c r="H762" i="19"/>
  <c r="H763" i="19"/>
  <c r="H764" i="19"/>
  <c r="H765" i="19"/>
  <c r="H766" i="19"/>
  <c r="H767" i="19"/>
  <c r="H768" i="19"/>
  <c r="H769" i="19"/>
  <c r="H770" i="19"/>
  <c r="H771" i="19"/>
  <c r="H772" i="19"/>
  <c r="H773" i="19"/>
  <c r="H774" i="19"/>
  <c r="H775" i="19"/>
  <c r="H776" i="19"/>
  <c r="H777" i="19"/>
  <c r="H778" i="19"/>
  <c r="H779" i="19"/>
  <c r="K42" i="19"/>
  <c r="L42" i="19"/>
  <c r="N42" i="19"/>
  <c r="H780" i="19" a="1"/>
  <c r="H780" i="19"/>
  <c r="H781" i="19" a="1"/>
  <c r="H782" i="19" a="1"/>
  <c r="H783" i="19" a="1"/>
  <c r="H784" i="19" a="1"/>
  <c r="H785" i="19" a="1"/>
  <c r="H786" i="19" a="1"/>
  <c r="H787" i="19" a="1"/>
  <c r="H788" i="19" a="1"/>
  <c r="H789" i="19" a="1"/>
  <c r="H790" i="19" a="1"/>
  <c r="H791" i="19" a="1"/>
  <c r="H792" i="19" a="1"/>
  <c r="H793" i="19" a="1"/>
  <c r="H794" i="19" a="1"/>
  <c r="H795" i="19" a="1"/>
  <c r="H796" i="19" a="1"/>
  <c r="H797" i="19" a="1"/>
  <c r="H798" i="19" a="1"/>
  <c r="H799" i="19" a="1"/>
  <c r="H781" i="19"/>
  <c r="H782" i="19"/>
  <c r="H783" i="19"/>
  <c r="H784" i="19"/>
  <c r="H785" i="19"/>
  <c r="H786" i="19"/>
  <c r="H787" i="19"/>
  <c r="H788" i="19"/>
  <c r="H789" i="19"/>
  <c r="H790" i="19"/>
  <c r="H791" i="19"/>
  <c r="H792" i="19"/>
  <c r="H793" i="19"/>
  <c r="H794" i="19"/>
  <c r="H795" i="19"/>
  <c r="H796" i="19"/>
  <c r="H797" i="19"/>
  <c r="H798" i="19"/>
  <c r="H799" i="19"/>
  <c r="K43" i="19"/>
  <c r="L43" i="19"/>
  <c r="N43" i="19"/>
  <c r="H800" i="19" a="1"/>
  <c r="H800" i="19"/>
  <c r="H801" i="19" a="1"/>
  <c r="H802" i="19" a="1"/>
  <c r="H803" i="19" a="1"/>
  <c r="H804" i="19" a="1"/>
  <c r="H805" i="19" a="1"/>
  <c r="H806" i="19" a="1"/>
  <c r="H807" i="19" a="1"/>
  <c r="H808" i="19" a="1"/>
  <c r="H809" i="19" a="1"/>
  <c r="H810" i="19" a="1"/>
  <c r="H811" i="19" a="1"/>
  <c r="H812" i="19" a="1"/>
  <c r="H813" i="19" a="1"/>
  <c r="H814" i="19" a="1"/>
  <c r="H815" i="19" a="1"/>
  <c r="H816" i="19" a="1"/>
  <c r="H817" i="19" a="1"/>
  <c r="H818" i="19" a="1"/>
  <c r="H819" i="19" a="1"/>
  <c r="H820" i="19" a="1"/>
  <c r="H821" i="19" a="1"/>
  <c r="H801" i="19"/>
  <c r="H802" i="19"/>
  <c r="H803" i="19"/>
  <c r="H804" i="19"/>
  <c r="H805" i="19"/>
  <c r="H806" i="19"/>
  <c r="H807" i="19"/>
  <c r="H808" i="19"/>
  <c r="H809" i="19"/>
  <c r="H810" i="19"/>
  <c r="H811" i="19"/>
  <c r="H812" i="19"/>
  <c r="H813" i="19"/>
  <c r="H814" i="19"/>
  <c r="H815" i="19"/>
  <c r="H816" i="19"/>
  <c r="H817" i="19"/>
  <c r="H818" i="19"/>
  <c r="H819" i="19"/>
  <c r="H820" i="19"/>
  <c r="H821" i="19"/>
  <c r="K44" i="19"/>
  <c r="L44" i="19"/>
  <c r="N44" i="19"/>
  <c r="H822" i="19" a="1"/>
  <c r="H822" i="19"/>
  <c r="H823" i="19" a="1"/>
  <c r="H824" i="19" a="1"/>
  <c r="H825" i="19" a="1"/>
  <c r="H826" i="19" a="1"/>
  <c r="H827" i="19" a="1"/>
  <c r="H828" i="19" a="1"/>
  <c r="H829" i="19" a="1"/>
  <c r="H830" i="19" a="1"/>
  <c r="H831" i="19" a="1"/>
  <c r="H832" i="19" a="1"/>
  <c r="H833" i="19" a="1"/>
  <c r="H834" i="19" a="1"/>
  <c r="H835" i="19" a="1"/>
  <c r="H836" i="19" a="1"/>
  <c r="H837" i="19" a="1"/>
  <c r="H838" i="19" a="1"/>
  <c r="H839" i="19" a="1"/>
  <c r="H840" i="19" a="1"/>
  <c r="H841" i="19" a="1"/>
  <c r="H842" i="19" a="1"/>
  <c r="H823" i="19"/>
  <c r="H824" i="19"/>
  <c r="H825" i="19"/>
  <c r="H826" i="19"/>
  <c r="H827" i="19"/>
  <c r="H828" i="19"/>
  <c r="H829" i="19"/>
  <c r="H830" i="19"/>
  <c r="H831" i="19"/>
  <c r="H832" i="19"/>
  <c r="H833" i="19"/>
  <c r="H834" i="19"/>
  <c r="H835" i="19"/>
  <c r="H836" i="19"/>
  <c r="H837" i="19"/>
  <c r="H838" i="19"/>
  <c r="H839" i="19"/>
  <c r="H840" i="19"/>
  <c r="H841" i="19"/>
  <c r="H842" i="19"/>
  <c r="K45" i="19"/>
  <c r="L45" i="19"/>
  <c r="N45" i="19"/>
  <c r="H843" i="19" a="1"/>
  <c r="H843" i="19"/>
  <c r="H844" i="19" a="1"/>
  <c r="H845" i="19" a="1"/>
  <c r="H846" i="19" a="1"/>
  <c r="H847" i="19" a="1"/>
  <c r="H848" i="19" a="1"/>
  <c r="H849" i="19" a="1"/>
  <c r="H850" i="19" a="1"/>
  <c r="H851" i="19" a="1"/>
  <c r="H852" i="19" a="1"/>
  <c r="H853" i="19" a="1"/>
  <c r="H854" i="19" a="1"/>
  <c r="H855" i="19" a="1"/>
  <c r="H856" i="19" a="1"/>
  <c r="H857" i="19" a="1"/>
  <c r="H858" i="19" a="1"/>
  <c r="H859" i="19" a="1"/>
  <c r="H860" i="19" a="1"/>
  <c r="H861" i="19" a="1"/>
  <c r="H862" i="19" a="1"/>
  <c r="H863" i="19" a="1"/>
  <c r="H844" i="19"/>
  <c r="H845" i="19"/>
  <c r="H846" i="19"/>
  <c r="H847" i="19"/>
  <c r="H848" i="19"/>
  <c r="H849" i="19"/>
  <c r="H850" i="19"/>
  <c r="H851" i="19"/>
  <c r="H852" i="19"/>
  <c r="H853" i="19"/>
  <c r="H854" i="19"/>
  <c r="H855" i="19"/>
  <c r="H856" i="19"/>
  <c r="H857" i="19"/>
  <c r="H858" i="19"/>
  <c r="H859" i="19"/>
  <c r="H860" i="19"/>
  <c r="H861" i="19"/>
  <c r="H862" i="19"/>
  <c r="H863" i="19"/>
  <c r="K46" i="19"/>
  <c r="L46" i="19"/>
  <c r="N46" i="19"/>
  <c r="H864" i="19" a="1"/>
  <c r="H864" i="19"/>
  <c r="H865" i="19" a="1"/>
  <c r="H866" i="19" a="1"/>
  <c r="H867" i="19" a="1"/>
  <c r="H868" i="19" a="1"/>
  <c r="H869" i="19" a="1"/>
  <c r="H870" i="19" a="1"/>
  <c r="H871" i="19" a="1"/>
  <c r="H872" i="19" a="1"/>
  <c r="H873" i="19" a="1"/>
  <c r="H874" i="19" a="1"/>
  <c r="H875" i="19" a="1"/>
  <c r="H876" i="19" a="1"/>
  <c r="H877" i="19" a="1"/>
  <c r="H878" i="19" a="1"/>
  <c r="H879" i="19" a="1"/>
  <c r="H880" i="19" a="1"/>
  <c r="H881" i="19" a="1"/>
  <c r="H882" i="19" a="1"/>
  <c r="H883" i="19" a="1"/>
  <c r="H884" i="19" a="1"/>
  <c r="H885" i="19" a="1"/>
  <c r="H865" i="19"/>
  <c r="H866" i="19"/>
  <c r="H867" i="19"/>
  <c r="H868" i="19"/>
  <c r="H869" i="19"/>
  <c r="H870" i="19"/>
  <c r="H871" i="19"/>
  <c r="H872" i="19"/>
  <c r="H873" i="19"/>
  <c r="H874" i="19"/>
  <c r="H875" i="19"/>
  <c r="H876" i="19"/>
  <c r="H877" i="19"/>
  <c r="H878" i="19"/>
  <c r="H879" i="19"/>
  <c r="H880" i="19"/>
  <c r="H881" i="19"/>
  <c r="H882" i="19"/>
  <c r="H883" i="19"/>
  <c r="H884" i="19"/>
  <c r="H885" i="19"/>
  <c r="K47" i="19"/>
  <c r="L47" i="19"/>
  <c r="N47" i="19"/>
  <c r="H886" i="19" a="1"/>
  <c r="H886" i="19"/>
  <c r="H887" i="19" a="1"/>
  <c r="H888" i="19" a="1"/>
  <c r="H889" i="19" a="1"/>
  <c r="H890" i="19" a="1"/>
  <c r="H891" i="19" a="1"/>
  <c r="H892" i="19" a="1"/>
  <c r="H893" i="19" a="1"/>
  <c r="H894" i="19" a="1"/>
  <c r="H895" i="19" a="1"/>
  <c r="H896" i="19" a="1"/>
  <c r="H897" i="19" a="1"/>
  <c r="H898" i="19" a="1"/>
  <c r="H899" i="19" a="1"/>
  <c r="H900" i="19" a="1"/>
  <c r="H901" i="19" a="1"/>
  <c r="H902" i="19" a="1"/>
  <c r="H903" i="19" a="1"/>
  <c r="H904" i="19" a="1"/>
  <c r="H905" i="19" a="1"/>
  <c r="H887" i="19"/>
  <c r="H888" i="19"/>
  <c r="H889" i="19"/>
  <c r="H890" i="19"/>
  <c r="H891" i="19"/>
  <c r="H892" i="19"/>
  <c r="H893" i="19"/>
  <c r="H894" i="19"/>
  <c r="H895" i="19"/>
  <c r="H896" i="19"/>
  <c r="H897" i="19"/>
  <c r="H898" i="19"/>
  <c r="H899" i="19"/>
  <c r="H900" i="19"/>
  <c r="H901" i="19"/>
  <c r="H902" i="19"/>
  <c r="H903" i="19"/>
  <c r="H904" i="19"/>
  <c r="H905" i="19"/>
  <c r="K48" i="19"/>
  <c r="L48" i="19"/>
  <c r="N48" i="19"/>
  <c r="H906" i="19" a="1"/>
  <c r="H906" i="19"/>
  <c r="H907" i="19" a="1"/>
  <c r="H908" i="19" a="1"/>
  <c r="H909" i="19" a="1"/>
  <c r="H910" i="19" a="1"/>
  <c r="H911" i="19" a="1"/>
  <c r="H912" i="19" a="1"/>
  <c r="H913" i="19" a="1"/>
  <c r="H914" i="19" a="1"/>
  <c r="H915" i="19" a="1"/>
  <c r="H916" i="19" a="1"/>
  <c r="H917" i="19" a="1"/>
  <c r="H918" i="19" a="1"/>
  <c r="H919" i="19" a="1"/>
  <c r="H920" i="19" a="1"/>
  <c r="H921" i="19" a="1"/>
  <c r="H922" i="19" a="1"/>
  <c r="H923" i="19" a="1"/>
  <c r="H924" i="19" a="1"/>
  <c r="H925" i="19" a="1"/>
  <c r="H926" i="19" a="1"/>
  <c r="H927" i="19" a="1"/>
  <c r="H928" i="19" a="1"/>
  <c r="H907" i="19"/>
  <c r="H908" i="19"/>
  <c r="H909" i="19"/>
  <c r="H910" i="19"/>
  <c r="H911" i="19"/>
  <c r="H912" i="19"/>
  <c r="H913" i="19"/>
  <c r="H914" i="19"/>
  <c r="H915" i="19"/>
  <c r="H916" i="19"/>
  <c r="H917" i="19"/>
  <c r="H918" i="19"/>
  <c r="H919" i="19"/>
  <c r="H920" i="19"/>
  <c r="H921" i="19"/>
  <c r="H922" i="19"/>
  <c r="H923" i="19"/>
  <c r="H924" i="19"/>
  <c r="H925" i="19"/>
  <c r="H926" i="19"/>
  <c r="H927" i="19"/>
  <c r="H928" i="19"/>
  <c r="K49" i="19"/>
  <c r="L49" i="19"/>
  <c r="N49" i="19"/>
  <c r="H929" i="19" a="1"/>
  <c r="H929" i="19"/>
  <c r="H930" i="19" a="1"/>
  <c r="H931" i="19" a="1"/>
  <c r="H932" i="19" a="1"/>
  <c r="H933" i="19" a="1"/>
  <c r="H934" i="19" a="1"/>
  <c r="H935" i="19" a="1"/>
  <c r="H936" i="19" a="1"/>
  <c r="H937" i="19" a="1"/>
  <c r="H938" i="19" a="1"/>
  <c r="H939" i="19" a="1"/>
  <c r="H940" i="19" a="1"/>
  <c r="H941" i="19" a="1"/>
  <c r="H942" i="19" a="1"/>
  <c r="H943" i="19" a="1"/>
  <c r="H944" i="19" a="1"/>
  <c r="H945" i="19" a="1"/>
  <c r="H946" i="19" a="1"/>
  <c r="H947" i="19" a="1"/>
  <c r="H948" i="19" a="1"/>
  <c r="H949" i="19" a="1"/>
  <c r="H930" i="19"/>
  <c r="H931" i="19"/>
  <c r="H932" i="19"/>
  <c r="H933" i="19"/>
  <c r="H934" i="19"/>
  <c r="H935" i="19"/>
  <c r="H936" i="19"/>
  <c r="H937" i="19"/>
  <c r="H938" i="19"/>
  <c r="H939" i="19"/>
  <c r="H940" i="19"/>
  <c r="H941" i="19"/>
  <c r="H942" i="19"/>
  <c r="H943" i="19"/>
  <c r="H944" i="19"/>
  <c r="H945" i="19"/>
  <c r="H946" i="19"/>
  <c r="H947" i="19"/>
  <c r="H948" i="19"/>
  <c r="H949" i="19"/>
  <c r="K50" i="19"/>
  <c r="L50" i="19"/>
  <c r="N50" i="19"/>
  <c r="H950" i="19" a="1"/>
  <c r="H950" i="19"/>
  <c r="H951" i="19" a="1"/>
  <c r="H952" i="19" a="1"/>
  <c r="H953" i="19" a="1"/>
  <c r="H954" i="19" a="1"/>
  <c r="H955" i="19" a="1"/>
  <c r="H956" i="19" a="1"/>
  <c r="H957" i="19" a="1"/>
  <c r="H958" i="19" a="1"/>
  <c r="H959" i="19" a="1"/>
  <c r="H960" i="19" a="1"/>
  <c r="H961" i="19" a="1"/>
  <c r="H962" i="19" a="1"/>
  <c r="H963" i="19" a="1"/>
  <c r="H964" i="19" a="1"/>
  <c r="H965" i="19" a="1"/>
  <c r="H966" i="19" a="1"/>
  <c r="H967" i="19" a="1"/>
  <c r="H968" i="19" a="1"/>
  <c r="H969" i="19" a="1"/>
  <c r="H970" i="19" a="1"/>
  <c r="H951" i="19"/>
  <c r="H952" i="19"/>
  <c r="H953" i="19"/>
  <c r="H954" i="19"/>
  <c r="H955" i="19"/>
  <c r="H956" i="19"/>
  <c r="H957" i="19"/>
  <c r="H958" i="19"/>
  <c r="H959" i="19"/>
  <c r="H960" i="19"/>
  <c r="H961" i="19"/>
  <c r="H962" i="19"/>
  <c r="H963" i="19"/>
  <c r="H964" i="19"/>
  <c r="H965" i="19"/>
  <c r="H966" i="19"/>
  <c r="H967" i="19"/>
  <c r="H968" i="19"/>
  <c r="H969" i="19"/>
  <c r="H970" i="19"/>
  <c r="K51" i="19"/>
  <c r="L51" i="19"/>
  <c r="N51" i="19"/>
  <c r="H971" i="19" a="1"/>
  <c r="H971" i="19"/>
  <c r="H972" i="19" a="1"/>
  <c r="H973" i="19" a="1"/>
  <c r="H974" i="19" a="1"/>
  <c r="H975" i="19" a="1"/>
  <c r="H976" i="19" a="1"/>
  <c r="H977" i="19" a="1"/>
  <c r="H978" i="19" a="1"/>
  <c r="H979" i="19" a="1"/>
  <c r="H980" i="19" a="1"/>
  <c r="H981" i="19" a="1"/>
  <c r="H982" i="19" a="1"/>
  <c r="H983" i="19" a="1"/>
  <c r="H984" i="19" a="1"/>
  <c r="H985" i="19" a="1"/>
  <c r="H986" i="19" a="1"/>
  <c r="H987" i="19" a="1"/>
  <c r="H988" i="19" a="1"/>
  <c r="H989" i="19" a="1"/>
  <c r="H990" i="19" a="1"/>
  <c r="H991" i="19" a="1"/>
  <c r="H972" i="19"/>
  <c r="H973" i="19"/>
  <c r="H974" i="19"/>
  <c r="H975" i="19"/>
  <c r="H976" i="19"/>
  <c r="H977" i="19"/>
  <c r="H978" i="19"/>
  <c r="H979" i="19"/>
  <c r="H980" i="19"/>
  <c r="H981" i="19"/>
  <c r="H982" i="19"/>
  <c r="H983" i="19"/>
  <c r="H984" i="19"/>
  <c r="H985" i="19"/>
  <c r="H986" i="19"/>
  <c r="H987" i="19"/>
  <c r="H988" i="19"/>
  <c r="H989" i="19"/>
  <c r="H990" i="19"/>
  <c r="H991" i="19"/>
  <c r="K52" i="19"/>
  <c r="L52" i="19"/>
  <c r="N52" i="19"/>
  <c r="H992" i="19" a="1"/>
  <c r="H992" i="19"/>
  <c r="H993" i="19" a="1"/>
  <c r="H994" i="19" a="1"/>
  <c r="H995" i="19" a="1"/>
  <c r="H996" i="19" a="1"/>
  <c r="H997" i="19" a="1"/>
  <c r="H998" i="19" a="1"/>
  <c r="H999" i="19" a="1"/>
  <c r="H1000" i="19" a="1"/>
  <c r="H1001" i="19" a="1"/>
  <c r="H1002" i="19" a="1"/>
  <c r="H1003" i="19" a="1"/>
  <c r="H1004" i="19" a="1"/>
  <c r="H1005" i="19" a="1"/>
  <c r="H1006" i="19" a="1"/>
  <c r="H1007" i="19" a="1"/>
  <c r="H1008" i="19" a="1"/>
  <c r="H1009" i="19" a="1"/>
  <c r="H1010" i="19" a="1"/>
  <c r="H1011" i="19" a="1"/>
  <c r="H1012" i="19" a="1"/>
  <c r="H993" i="19"/>
  <c r="H994" i="19"/>
  <c r="H995" i="19"/>
  <c r="H996" i="19"/>
  <c r="H997" i="19"/>
  <c r="H998" i="19"/>
  <c r="H999" i="19"/>
  <c r="H1000" i="19"/>
  <c r="H1001" i="19"/>
  <c r="H1002" i="19"/>
  <c r="H1003" i="19"/>
  <c r="H1004" i="19"/>
  <c r="H1005" i="19"/>
  <c r="H1006" i="19"/>
  <c r="H1007" i="19"/>
  <c r="H1008" i="19"/>
  <c r="H1009" i="19"/>
  <c r="H1010" i="19"/>
  <c r="H1011" i="19"/>
  <c r="H1012" i="19"/>
  <c r="I6" i="19" a="1"/>
  <c r="I6" i="19"/>
  <c r="I7" i="19" a="1"/>
  <c r="I7" i="19"/>
  <c r="I8" i="19" a="1"/>
  <c r="I8" i="19"/>
  <c r="I9" i="19" a="1"/>
  <c r="I9" i="19"/>
  <c r="I10" i="19" a="1"/>
  <c r="I10" i="19"/>
  <c r="I11" i="19" a="1"/>
  <c r="I11" i="19"/>
  <c r="I12" i="19" a="1"/>
  <c r="I12" i="19"/>
  <c r="I13" i="19" a="1"/>
  <c r="I13" i="19"/>
  <c r="I14" i="19" a="1"/>
  <c r="I14" i="19"/>
  <c r="I15" i="19" a="1"/>
  <c r="I15" i="19"/>
  <c r="I16" i="19" a="1"/>
  <c r="I16" i="19"/>
  <c r="I17" i="19" a="1"/>
  <c r="I17" i="19"/>
  <c r="I18" i="19" a="1"/>
  <c r="I18" i="19"/>
  <c r="I19" i="19" a="1"/>
  <c r="I19" i="19"/>
  <c r="I20" i="19" a="1"/>
  <c r="I20" i="19"/>
  <c r="I21" i="19" a="1"/>
  <c r="I21" i="19"/>
  <c r="I22" i="19" a="1"/>
  <c r="I22" i="19"/>
  <c r="I23" i="19" a="1"/>
  <c r="I23" i="19"/>
  <c r="I24" i="19" a="1"/>
  <c r="I24" i="19"/>
  <c r="I25" i="19" a="1"/>
  <c r="I25" i="19"/>
  <c r="I26" i="19" a="1"/>
  <c r="I26" i="19"/>
  <c r="I27" i="19" a="1"/>
  <c r="I27" i="19"/>
  <c r="I28" i="19" a="1"/>
  <c r="I28" i="19"/>
  <c r="I29" i="19" a="1"/>
  <c r="I29" i="19"/>
  <c r="I30" i="19" a="1"/>
  <c r="I30" i="19"/>
  <c r="I31" i="19" a="1"/>
  <c r="I31" i="19"/>
  <c r="I32" i="19" a="1"/>
  <c r="I32" i="19"/>
  <c r="I33" i="19" a="1"/>
  <c r="I33" i="19"/>
  <c r="I34" i="19" a="1"/>
  <c r="I34" i="19"/>
  <c r="I35" i="19" a="1"/>
  <c r="I35" i="19"/>
  <c r="I36" i="19" a="1"/>
  <c r="I36" i="19"/>
  <c r="I37" i="19" a="1"/>
  <c r="I37" i="19"/>
  <c r="I38" i="19" a="1"/>
  <c r="I38" i="19"/>
  <c r="I39" i="19" a="1"/>
  <c r="I39" i="19"/>
  <c r="I40" i="19" a="1"/>
  <c r="I40" i="19"/>
  <c r="I41" i="19" a="1"/>
  <c r="I41" i="19"/>
  <c r="I42" i="19" a="1"/>
  <c r="I42" i="19"/>
  <c r="I43" i="19" a="1"/>
  <c r="I43" i="19"/>
  <c r="I44" i="19" a="1"/>
  <c r="I44" i="19"/>
  <c r="I45" i="19" a="1"/>
  <c r="I45" i="19"/>
  <c r="I46" i="19" a="1"/>
  <c r="I46" i="19"/>
  <c r="I47" i="19" a="1"/>
  <c r="I47" i="19"/>
  <c r="I48" i="19" a="1"/>
  <c r="I48" i="19"/>
  <c r="I49" i="19" a="1"/>
  <c r="I49" i="19"/>
  <c r="I50" i="19" a="1"/>
  <c r="I50" i="19"/>
  <c r="I51" i="19" a="1"/>
  <c r="I51" i="19"/>
  <c r="I52" i="19" a="1"/>
  <c r="I52" i="19"/>
  <c r="I53" i="19" a="1"/>
  <c r="I53" i="19"/>
  <c r="I54" i="19" a="1"/>
  <c r="I54" i="19"/>
  <c r="I55" i="19" a="1"/>
  <c r="I55" i="19"/>
  <c r="I56" i="19" a="1"/>
  <c r="I56" i="19"/>
  <c r="I57" i="19" a="1"/>
  <c r="I57" i="19"/>
  <c r="I58" i="19" a="1"/>
  <c r="I58" i="19"/>
  <c r="I59" i="19" a="1"/>
  <c r="I59" i="19"/>
  <c r="I60" i="19" a="1"/>
  <c r="I60" i="19"/>
  <c r="I61" i="19" a="1"/>
  <c r="I61" i="19"/>
  <c r="I62" i="19" a="1"/>
  <c r="I62" i="19"/>
  <c r="I63" i="19" a="1"/>
  <c r="I63" i="19"/>
  <c r="I64" i="19" a="1"/>
  <c r="I64" i="19"/>
  <c r="I65" i="19" a="1"/>
  <c r="I65" i="19"/>
  <c r="I66" i="19" a="1"/>
  <c r="I66" i="19"/>
  <c r="I67" i="19" a="1"/>
  <c r="I67" i="19"/>
  <c r="I68" i="19" a="1"/>
  <c r="I68" i="19"/>
  <c r="I69" i="19" a="1"/>
  <c r="I69" i="19"/>
  <c r="I70" i="19" a="1"/>
  <c r="I70" i="19"/>
  <c r="I71" i="19" a="1"/>
  <c r="I71" i="19"/>
  <c r="I72" i="19" a="1"/>
  <c r="I72" i="19"/>
  <c r="I73" i="19" a="1"/>
  <c r="I73" i="19"/>
  <c r="I74" i="19" a="1"/>
  <c r="I74" i="19"/>
  <c r="I75" i="19" a="1"/>
  <c r="I75" i="19"/>
  <c r="I76" i="19" a="1"/>
  <c r="I76" i="19"/>
  <c r="I77" i="19" a="1"/>
  <c r="I77" i="19"/>
  <c r="I78" i="19" a="1"/>
  <c r="I78" i="19"/>
  <c r="I79" i="19" a="1"/>
  <c r="I79" i="19"/>
  <c r="I80" i="19" a="1"/>
  <c r="I80" i="19"/>
  <c r="I81" i="19" a="1"/>
  <c r="I81" i="19"/>
  <c r="I82" i="19" a="1"/>
  <c r="I82" i="19"/>
  <c r="I83" i="19" a="1"/>
  <c r="I83" i="19"/>
  <c r="I84" i="19" a="1"/>
  <c r="I84" i="19"/>
  <c r="I85" i="19" a="1"/>
  <c r="I85" i="19"/>
  <c r="I86" i="19" a="1"/>
  <c r="I86" i="19"/>
  <c r="I87" i="19" a="1"/>
  <c r="I87" i="19"/>
  <c r="I88" i="19" a="1"/>
  <c r="I88" i="19"/>
  <c r="I89" i="19" a="1"/>
  <c r="I89" i="19"/>
  <c r="I90" i="19" a="1"/>
  <c r="I90" i="19"/>
  <c r="I91" i="19" a="1"/>
  <c r="I91" i="19"/>
  <c r="I92" i="19" a="1"/>
  <c r="I92" i="19"/>
  <c r="I93" i="19" a="1"/>
  <c r="I93" i="19"/>
  <c r="I94" i="19" a="1"/>
  <c r="I94" i="19"/>
  <c r="I95" i="19" a="1"/>
  <c r="I95" i="19"/>
  <c r="I96" i="19" a="1"/>
  <c r="I96" i="19"/>
  <c r="I97" i="19" a="1"/>
  <c r="I97" i="19"/>
  <c r="I98" i="19" a="1"/>
  <c r="I98" i="19"/>
  <c r="I99" i="19" a="1"/>
  <c r="I99" i="19"/>
  <c r="I100" i="19" a="1"/>
  <c r="I100" i="19"/>
  <c r="I101" i="19" a="1"/>
  <c r="I101" i="19"/>
  <c r="I102" i="19" a="1"/>
  <c r="I102" i="19"/>
  <c r="I103" i="19" a="1"/>
  <c r="I103" i="19"/>
  <c r="I104" i="19" a="1"/>
  <c r="I104" i="19"/>
  <c r="I105" i="19" a="1"/>
  <c r="I105" i="19"/>
  <c r="I106" i="19" a="1"/>
  <c r="I106" i="19"/>
  <c r="I107" i="19" a="1"/>
  <c r="I107" i="19"/>
  <c r="I108" i="19" a="1"/>
  <c r="I108" i="19"/>
  <c r="I109" i="19" a="1"/>
  <c r="I109" i="19"/>
  <c r="I110" i="19" a="1"/>
  <c r="I110" i="19"/>
  <c r="I111" i="19" a="1"/>
  <c r="I111" i="19"/>
  <c r="I112" i="19" a="1"/>
  <c r="I112" i="19"/>
  <c r="I113" i="19" a="1"/>
  <c r="I113" i="19"/>
  <c r="I114" i="19" a="1"/>
  <c r="I114" i="19"/>
  <c r="I115" i="19" a="1"/>
  <c r="I115" i="19"/>
  <c r="I116" i="19" a="1"/>
  <c r="I116" i="19"/>
  <c r="I117" i="19" a="1"/>
  <c r="I117" i="19"/>
  <c r="I118" i="19" a="1"/>
  <c r="I118" i="19"/>
  <c r="I119" i="19" a="1"/>
  <c r="I119" i="19"/>
  <c r="I120" i="19" a="1"/>
  <c r="I120" i="19"/>
  <c r="I121" i="19" a="1"/>
  <c r="I121" i="19"/>
  <c r="I122" i="19" a="1"/>
  <c r="I122" i="19"/>
  <c r="I123" i="19" a="1"/>
  <c r="I123" i="19"/>
  <c r="I124" i="19" a="1"/>
  <c r="I124" i="19"/>
  <c r="I125" i="19" a="1"/>
  <c r="I125" i="19"/>
  <c r="I126" i="19" a="1"/>
  <c r="I126" i="19"/>
  <c r="I127" i="19" a="1"/>
  <c r="I127" i="19"/>
  <c r="I128" i="19" a="1"/>
  <c r="I128" i="19"/>
  <c r="I129" i="19" a="1"/>
  <c r="I129" i="19"/>
  <c r="I130" i="19" a="1"/>
  <c r="I130" i="19"/>
  <c r="I131" i="19" a="1"/>
  <c r="I131" i="19"/>
  <c r="I132" i="19" a="1"/>
  <c r="I132" i="19"/>
  <c r="I133" i="19" a="1"/>
  <c r="I133" i="19"/>
  <c r="I134" i="19" a="1"/>
  <c r="I134" i="19"/>
  <c r="I135" i="19" a="1"/>
  <c r="I135" i="19"/>
  <c r="I136" i="19" a="1"/>
  <c r="I136" i="19"/>
  <c r="I137" i="19" a="1"/>
  <c r="I137" i="19"/>
  <c r="I138" i="19" a="1"/>
  <c r="I138" i="19"/>
  <c r="I139" i="19" a="1"/>
  <c r="I139" i="19"/>
  <c r="I140" i="19" a="1"/>
  <c r="I140" i="19"/>
  <c r="I141" i="19" a="1"/>
  <c r="I141" i="19"/>
  <c r="I142" i="19" a="1"/>
  <c r="I142" i="19"/>
  <c r="I143" i="19" a="1"/>
  <c r="I143" i="19"/>
  <c r="I144" i="19" a="1"/>
  <c r="I144" i="19"/>
  <c r="I145" i="19" a="1"/>
  <c r="I145" i="19"/>
  <c r="I146" i="19" a="1"/>
  <c r="I146" i="19"/>
  <c r="I147" i="19" a="1"/>
  <c r="I147" i="19"/>
  <c r="I148" i="19" a="1"/>
  <c r="I148" i="19"/>
  <c r="I149" i="19" a="1"/>
  <c r="I149" i="19"/>
  <c r="I150" i="19" a="1"/>
  <c r="I150" i="19"/>
  <c r="I151" i="19" a="1"/>
  <c r="I151" i="19"/>
  <c r="I152" i="19" a="1"/>
  <c r="I152" i="19"/>
  <c r="I153" i="19" a="1"/>
  <c r="I153" i="19"/>
  <c r="I154" i="19" a="1"/>
  <c r="I154" i="19"/>
  <c r="I155" i="19" a="1"/>
  <c r="I155" i="19"/>
  <c r="I156" i="19" a="1"/>
  <c r="I156" i="19"/>
  <c r="I157" i="19" a="1"/>
  <c r="I157" i="19"/>
  <c r="I158" i="19" a="1"/>
  <c r="I158" i="19"/>
  <c r="I159" i="19" a="1"/>
  <c r="I159" i="19"/>
  <c r="I160" i="19" a="1"/>
  <c r="I160" i="19"/>
  <c r="I161" i="19" a="1"/>
  <c r="I161" i="19"/>
  <c r="I162" i="19" a="1"/>
  <c r="I162" i="19"/>
  <c r="I163" i="19" a="1"/>
  <c r="I163" i="19"/>
  <c r="I164" i="19" a="1"/>
  <c r="I164" i="19"/>
  <c r="I165" i="19" a="1"/>
  <c r="I165" i="19"/>
  <c r="I166" i="19" a="1"/>
  <c r="I166" i="19"/>
  <c r="I167" i="19" a="1"/>
  <c r="I167" i="19"/>
  <c r="I168" i="19" a="1"/>
  <c r="I168" i="19"/>
  <c r="I169" i="19" a="1"/>
  <c r="I169" i="19"/>
  <c r="I170" i="19" a="1"/>
  <c r="I170" i="19"/>
  <c r="I171" i="19" a="1"/>
  <c r="I171" i="19"/>
  <c r="I172" i="19" a="1"/>
  <c r="I172" i="19"/>
  <c r="I173" i="19" a="1"/>
  <c r="I173" i="19"/>
  <c r="I174" i="19" a="1"/>
  <c r="I174" i="19"/>
  <c r="I175" i="19" a="1"/>
  <c r="I175" i="19"/>
  <c r="I176" i="19" a="1"/>
  <c r="I176" i="19"/>
  <c r="I177" i="19" a="1"/>
  <c r="I177" i="19"/>
  <c r="I178" i="19" a="1"/>
  <c r="I178" i="19"/>
  <c r="I179" i="19" a="1"/>
  <c r="I179" i="19"/>
  <c r="I180" i="19" a="1"/>
  <c r="I180" i="19"/>
  <c r="I181" i="19" a="1"/>
  <c r="I181" i="19"/>
  <c r="I182" i="19" a="1"/>
  <c r="I182" i="19"/>
  <c r="I183" i="19" a="1"/>
  <c r="I183" i="19"/>
  <c r="I184" i="19" a="1"/>
  <c r="I184" i="19"/>
  <c r="I185" i="19" a="1"/>
  <c r="I185" i="19"/>
  <c r="I186" i="19" a="1"/>
  <c r="I186" i="19"/>
  <c r="I187" i="19" a="1"/>
  <c r="I187" i="19"/>
  <c r="I188" i="19" a="1"/>
  <c r="I188" i="19"/>
  <c r="I189" i="19" a="1"/>
  <c r="I189" i="19"/>
  <c r="I190" i="19" a="1"/>
  <c r="I190" i="19"/>
  <c r="I191" i="19" a="1"/>
  <c r="I191" i="19"/>
  <c r="I192" i="19" a="1"/>
  <c r="I192" i="19"/>
  <c r="I193" i="19" a="1"/>
  <c r="I193" i="19"/>
  <c r="I194" i="19" a="1"/>
  <c r="I194" i="19"/>
  <c r="I195" i="19" a="1"/>
  <c r="I195" i="19"/>
  <c r="I196" i="19" a="1"/>
  <c r="I196" i="19"/>
  <c r="I197" i="19" a="1"/>
  <c r="I197" i="19"/>
  <c r="I198" i="19" a="1"/>
  <c r="I198" i="19"/>
  <c r="I199" i="19" a="1"/>
  <c r="I199" i="19"/>
  <c r="I200" i="19" a="1"/>
  <c r="I200" i="19"/>
  <c r="I201" i="19" a="1"/>
  <c r="I201" i="19"/>
  <c r="I202" i="19" a="1"/>
  <c r="I202" i="19"/>
  <c r="I203" i="19" a="1"/>
  <c r="I203" i="19"/>
  <c r="I204" i="19" a="1"/>
  <c r="I204" i="19"/>
  <c r="I205" i="19" a="1"/>
  <c r="I205" i="19"/>
  <c r="I206" i="19" a="1"/>
  <c r="I206" i="19"/>
  <c r="I207" i="19" a="1"/>
  <c r="I207" i="19"/>
  <c r="I208" i="19" a="1"/>
  <c r="I208" i="19"/>
  <c r="I209" i="19" a="1"/>
  <c r="I209" i="19"/>
  <c r="I210" i="19" a="1"/>
  <c r="I210" i="19"/>
  <c r="I211" i="19" a="1"/>
  <c r="I211" i="19"/>
  <c r="I212" i="19" a="1"/>
  <c r="I212" i="19"/>
  <c r="I213" i="19" a="1"/>
  <c r="I213" i="19"/>
  <c r="I214" i="19" a="1"/>
  <c r="I214" i="19"/>
  <c r="I215" i="19" a="1"/>
  <c r="I215" i="19"/>
  <c r="I216" i="19" a="1"/>
  <c r="I216" i="19"/>
  <c r="I217" i="19" a="1"/>
  <c r="I217" i="19"/>
  <c r="I218" i="19" a="1"/>
  <c r="I218" i="19"/>
  <c r="I219" i="19" a="1"/>
  <c r="I219" i="19"/>
  <c r="I220" i="19" a="1"/>
  <c r="I220" i="19"/>
  <c r="I221" i="19" a="1"/>
  <c r="I221" i="19"/>
  <c r="I222" i="19" a="1"/>
  <c r="I222" i="19"/>
  <c r="I223" i="19" a="1"/>
  <c r="I223" i="19"/>
  <c r="I224" i="19" a="1"/>
  <c r="I224" i="19"/>
  <c r="I225" i="19" a="1"/>
  <c r="I225" i="19"/>
  <c r="I226" i="19" a="1"/>
  <c r="I226" i="19"/>
  <c r="I227" i="19" a="1"/>
  <c r="I227" i="19"/>
  <c r="I228" i="19" a="1"/>
  <c r="I228" i="19"/>
  <c r="I229" i="19" a="1"/>
  <c r="I229" i="19"/>
  <c r="I230" i="19" a="1"/>
  <c r="I230" i="19"/>
  <c r="I231" i="19" a="1"/>
  <c r="I231" i="19"/>
  <c r="I232" i="19" a="1"/>
  <c r="I232" i="19"/>
  <c r="I233" i="19" a="1"/>
  <c r="I233" i="19"/>
  <c r="I234" i="19" a="1"/>
  <c r="I234" i="19"/>
  <c r="I235" i="19" a="1"/>
  <c r="I235" i="19"/>
  <c r="I236" i="19" a="1"/>
  <c r="I236" i="19"/>
  <c r="I237" i="19" a="1"/>
  <c r="I237" i="19"/>
  <c r="I238" i="19" a="1"/>
  <c r="I238" i="19"/>
  <c r="I239" i="19" a="1"/>
  <c r="I239" i="19"/>
  <c r="I240" i="19" a="1"/>
  <c r="I240" i="19"/>
  <c r="I241" i="19" a="1"/>
  <c r="I241" i="19"/>
  <c r="I242" i="19" a="1"/>
  <c r="I242" i="19"/>
  <c r="I243" i="19" a="1"/>
  <c r="I243" i="19"/>
  <c r="I244" i="19" a="1"/>
  <c r="I244" i="19"/>
  <c r="I245" i="19" a="1"/>
  <c r="I245" i="19"/>
  <c r="I246" i="19" a="1"/>
  <c r="I246" i="19"/>
  <c r="I247" i="19" a="1"/>
  <c r="I247" i="19"/>
  <c r="I248" i="19" a="1"/>
  <c r="I248" i="19"/>
  <c r="I249" i="19" a="1"/>
  <c r="I249" i="19"/>
  <c r="I250" i="19" a="1"/>
  <c r="I250" i="19"/>
  <c r="I251" i="19" a="1"/>
  <c r="I251" i="19"/>
  <c r="I252" i="19" a="1"/>
  <c r="I252" i="19"/>
  <c r="I253" i="19" a="1"/>
  <c r="I253" i="19"/>
  <c r="I254" i="19" a="1"/>
  <c r="I254" i="19"/>
  <c r="I255" i="19" a="1"/>
  <c r="I255" i="19"/>
  <c r="I256" i="19" a="1"/>
  <c r="I256" i="19"/>
  <c r="I257" i="19" a="1"/>
  <c r="I257" i="19"/>
  <c r="I258" i="19" a="1"/>
  <c r="I258" i="19"/>
  <c r="I259" i="19" a="1"/>
  <c r="I259" i="19"/>
  <c r="I260" i="19" a="1"/>
  <c r="I260" i="19"/>
  <c r="I261" i="19" a="1"/>
  <c r="I261" i="19"/>
  <c r="I262" i="19" a="1"/>
  <c r="I262" i="19"/>
  <c r="I263" i="19" a="1"/>
  <c r="I263" i="19"/>
  <c r="I264" i="19" a="1"/>
  <c r="I264" i="19"/>
  <c r="I265" i="19" a="1"/>
  <c r="I265" i="19"/>
  <c r="I266" i="19" a="1"/>
  <c r="I266" i="19"/>
  <c r="I267" i="19" a="1"/>
  <c r="I267" i="19"/>
  <c r="I268" i="19" a="1"/>
  <c r="I268" i="19"/>
  <c r="I269" i="19" a="1"/>
  <c r="I269" i="19"/>
  <c r="I270" i="19" a="1"/>
  <c r="I270" i="19"/>
  <c r="I271" i="19" a="1"/>
  <c r="I271" i="19"/>
  <c r="I272" i="19" a="1"/>
  <c r="I272" i="19"/>
  <c r="I273" i="19" a="1"/>
  <c r="I273" i="19"/>
  <c r="I274" i="19" a="1"/>
  <c r="I274" i="19"/>
  <c r="I275" i="19" a="1"/>
  <c r="I275" i="19"/>
  <c r="I276" i="19" a="1"/>
  <c r="I276" i="19"/>
  <c r="I277" i="19" a="1"/>
  <c r="I277" i="19"/>
  <c r="I278" i="19" a="1"/>
  <c r="I278" i="19"/>
  <c r="I279" i="19" a="1"/>
  <c r="I279" i="19"/>
  <c r="I280" i="19" a="1"/>
  <c r="I280" i="19"/>
  <c r="I281" i="19" a="1"/>
  <c r="I281" i="19"/>
  <c r="I282" i="19" a="1"/>
  <c r="I282" i="19"/>
  <c r="I283" i="19" a="1"/>
  <c r="I283" i="19"/>
  <c r="I284" i="19" a="1"/>
  <c r="I284" i="19"/>
  <c r="I285" i="19" a="1"/>
  <c r="I285" i="19"/>
  <c r="I286" i="19" a="1"/>
  <c r="I286" i="19"/>
  <c r="I287" i="19" a="1"/>
  <c r="I287" i="19"/>
  <c r="I288" i="19" a="1"/>
  <c r="I288" i="19"/>
  <c r="I289" i="19" a="1"/>
  <c r="I289" i="19"/>
  <c r="I290" i="19" a="1"/>
  <c r="I290" i="19"/>
  <c r="I291" i="19" a="1"/>
  <c r="I291" i="19"/>
  <c r="I292" i="19" a="1"/>
  <c r="I292" i="19"/>
  <c r="I293" i="19" a="1"/>
  <c r="I293" i="19"/>
  <c r="I294" i="19" a="1"/>
  <c r="I294" i="19"/>
  <c r="I295" i="19" a="1"/>
  <c r="I295" i="19"/>
  <c r="I296" i="19" a="1"/>
  <c r="I296" i="19"/>
  <c r="I297" i="19" a="1"/>
  <c r="I297" i="19"/>
  <c r="I298" i="19" a="1"/>
  <c r="I298" i="19"/>
  <c r="I299" i="19" a="1"/>
  <c r="I299" i="19"/>
  <c r="I300" i="19" a="1"/>
  <c r="I300" i="19"/>
  <c r="I301" i="19" a="1"/>
  <c r="I301" i="19"/>
  <c r="I302" i="19" a="1"/>
  <c r="I302" i="19"/>
  <c r="I303" i="19" a="1"/>
  <c r="I303" i="19"/>
  <c r="I304" i="19" a="1"/>
  <c r="I304" i="19"/>
  <c r="I305" i="19" a="1"/>
  <c r="I305" i="19"/>
  <c r="I306" i="19" a="1"/>
  <c r="I306" i="19"/>
  <c r="I307" i="19" a="1"/>
  <c r="I307" i="19"/>
  <c r="I308" i="19" a="1"/>
  <c r="I308" i="19"/>
  <c r="I309" i="19" a="1"/>
  <c r="I309" i="19"/>
  <c r="I310" i="19" a="1"/>
  <c r="I310" i="19"/>
  <c r="I311" i="19" a="1"/>
  <c r="I311" i="19"/>
  <c r="I312" i="19" a="1"/>
  <c r="I312" i="19"/>
  <c r="I313" i="19" a="1"/>
  <c r="I313" i="19"/>
  <c r="I314" i="19" a="1"/>
  <c r="I314" i="19"/>
  <c r="I315" i="19" a="1"/>
  <c r="I315" i="19"/>
  <c r="I316" i="19" a="1"/>
  <c r="I316" i="19"/>
  <c r="I317" i="19" a="1"/>
  <c r="I317" i="19"/>
  <c r="I318" i="19" a="1"/>
  <c r="I318" i="19"/>
  <c r="I319" i="19" a="1"/>
  <c r="I319" i="19"/>
  <c r="I320" i="19" a="1"/>
  <c r="I320" i="19"/>
  <c r="I321" i="19" a="1"/>
  <c r="I321" i="19"/>
  <c r="I322" i="19" a="1"/>
  <c r="I322" i="19"/>
  <c r="I323" i="19" a="1"/>
  <c r="I323" i="19"/>
  <c r="I324" i="19" a="1"/>
  <c r="I324" i="19"/>
  <c r="I325" i="19" a="1"/>
  <c r="I325" i="19"/>
  <c r="I326" i="19" a="1"/>
  <c r="I326" i="19"/>
  <c r="I327" i="19" a="1"/>
  <c r="I327" i="19"/>
  <c r="I328" i="19" a="1"/>
  <c r="I328" i="19"/>
  <c r="I329" i="19" a="1"/>
  <c r="I329" i="19"/>
  <c r="I330" i="19" a="1"/>
  <c r="I330" i="19"/>
  <c r="I331" i="19" a="1"/>
  <c r="I331" i="19"/>
  <c r="I332" i="19" a="1"/>
  <c r="I332" i="19"/>
  <c r="I333" i="19" a="1"/>
  <c r="I333" i="19"/>
  <c r="I334" i="19" a="1"/>
  <c r="I334" i="19"/>
  <c r="I335" i="19" a="1"/>
  <c r="I335" i="19"/>
  <c r="I336" i="19" a="1"/>
  <c r="I336" i="19"/>
  <c r="I337" i="19" a="1"/>
  <c r="I337" i="19"/>
  <c r="I338" i="19" a="1"/>
  <c r="I338" i="19"/>
  <c r="I339" i="19" a="1"/>
  <c r="I339" i="19"/>
  <c r="I340" i="19" a="1"/>
  <c r="I340" i="19"/>
  <c r="I341" i="19" a="1"/>
  <c r="I341" i="19"/>
  <c r="I342" i="19" a="1"/>
  <c r="I342" i="19"/>
  <c r="I343" i="19" a="1"/>
  <c r="I343" i="19"/>
  <c r="I344" i="19" a="1"/>
  <c r="I344" i="19"/>
  <c r="I345" i="19" a="1"/>
  <c r="I345" i="19"/>
  <c r="I346" i="19" a="1"/>
  <c r="I346" i="19"/>
  <c r="I347" i="19" a="1"/>
  <c r="I347" i="19"/>
  <c r="I348" i="19" a="1"/>
  <c r="I348" i="19"/>
  <c r="I349" i="19" a="1"/>
  <c r="I349" i="19"/>
  <c r="I350" i="19" a="1"/>
  <c r="I350" i="19"/>
  <c r="I351" i="19" a="1"/>
  <c r="I351" i="19"/>
  <c r="I352" i="19" a="1"/>
  <c r="I352" i="19"/>
  <c r="I353" i="19" a="1"/>
  <c r="I353" i="19"/>
  <c r="I354" i="19" a="1"/>
  <c r="I354" i="19"/>
  <c r="I355" i="19" a="1"/>
  <c r="I355" i="19"/>
  <c r="I356" i="19" a="1"/>
  <c r="I356" i="19"/>
  <c r="I357" i="19" a="1"/>
  <c r="I357" i="19"/>
  <c r="I358" i="19" a="1"/>
  <c r="I358" i="19"/>
  <c r="I359" i="19" a="1"/>
  <c r="I359" i="19"/>
  <c r="I360" i="19" a="1"/>
  <c r="I360" i="19"/>
  <c r="I361" i="19" a="1"/>
  <c r="I361" i="19"/>
  <c r="I362" i="19" a="1"/>
  <c r="I362" i="19"/>
  <c r="I363" i="19" a="1"/>
  <c r="I363" i="19"/>
  <c r="I364" i="19" a="1"/>
  <c r="I364" i="19"/>
  <c r="I365" i="19" a="1"/>
  <c r="I365" i="19"/>
  <c r="I366" i="19" a="1"/>
  <c r="I366" i="19"/>
  <c r="I367" i="19" a="1"/>
  <c r="I367" i="19"/>
  <c r="I368" i="19" a="1"/>
  <c r="I368" i="19"/>
  <c r="I369" i="19" a="1"/>
  <c r="I369" i="19"/>
  <c r="I370" i="19" a="1"/>
  <c r="I370" i="19"/>
  <c r="I371" i="19" a="1"/>
  <c r="I371" i="19"/>
  <c r="I372" i="19" a="1"/>
  <c r="I372" i="19"/>
  <c r="I373" i="19" a="1"/>
  <c r="I373" i="19"/>
  <c r="I374" i="19" a="1"/>
  <c r="I374" i="19"/>
  <c r="I375" i="19" a="1"/>
  <c r="I375" i="19"/>
  <c r="I376" i="19" a="1"/>
  <c r="I376" i="19"/>
  <c r="I377" i="19" a="1"/>
  <c r="I377" i="19"/>
  <c r="I378" i="19" a="1"/>
  <c r="I378" i="19"/>
  <c r="I379" i="19" a="1"/>
  <c r="I379" i="19"/>
  <c r="I380" i="19" a="1"/>
  <c r="I380" i="19"/>
  <c r="I381" i="19" a="1"/>
  <c r="I381" i="19"/>
  <c r="I382" i="19" a="1"/>
  <c r="I382" i="19"/>
  <c r="I383" i="19" a="1"/>
  <c r="I383" i="19"/>
  <c r="I384" i="19" a="1"/>
  <c r="I384" i="19"/>
  <c r="I385" i="19" a="1"/>
  <c r="I385" i="19"/>
  <c r="I386" i="19" a="1"/>
  <c r="I386" i="19"/>
  <c r="I387" i="19" a="1"/>
  <c r="I387" i="19"/>
  <c r="I388" i="19" a="1"/>
  <c r="I388" i="19"/>
  <c r="I389" i="19" a="1"/>
  <c r="I389" i="19"/>
  <c r="I390" i="19" a="1"/>
  <c r="I390" i="19"/>
  <c r="I391" i="19" a="1"/>
  <c r="I391" i="19"/>
  <c r="I392" i="19" a="1"/>
  <c r="I392" i="19"/>
  <c r="I393" i="19" a="1"/>
  <c r="I393" i="19"/>
  <c r="I394" i="19" a="1"/>
  <c r="I394" i="19"/>
  <c r="I395" i="19" a="1"/>
  <c r="I395" i="19"/>
  <c r="I396" i="19" a="1"/>
  <c r="I396" i="19"/>
  <c r="I397" i="19" a="1"/>
  <c r="I397" i="19"/>
  <c r="I398" i="19" a="1"/>
  <c r="I398" i="19"/>
  <c r="I399" i="19" a="1"/>
  <c r="I399" i="19"/>
  <c r="I400" i="19" a="1"/>
  <c r="I400" i="19"/>
  <c r="I401" i="19" a="1"/>
  <c r="I401" i="19"/>
  <c r="I402" i="19" a="1"/>
  <c r="I402" i="19"/>
  <c r="I403" i="19" a="1"/>
  <c r="I403" i="19"/>
  <c r="I404" i="19" a="1"/>
  <c r="I404" i="19"/>
  <c r="I405" i="19" a="1"/>
  <c r="I405" i="19"/>
  <c r="I406" i="19" a="1"/>
  <c r="I406" i="19"/>
  <c r="I407" i="19" a="1"/>
  <c r="I407" i="19"/>
  <c r="I408" i="19" a="1"/>
  <c r="I408" i="19"/>
  <c r="I409" i="19" a="1"/>
  <c r="I409" i="19"/>
  <c r="I410" i="19" a="1"/>
  <c r="I410" i="19"/>
  <c r="I411" i="19" a="1"/>
  <c r="I411" i="19"/>
  <c r="I412" i="19" a="1"/>
  <c r="I412" i="19"/>
  <c r="I413" i="19" a="1"/>
  <c r="I413" i="19"/>
  <c r="I414" i="19" a="1"/>
  <c r="I414" i="19"/>
  <c r="I415" i="19" a="1"/>
  <c r="I415" i="19"/>
  <c r="I416" i="19" a="1"/>
  <c r="I416" i="19"/>
  <c r="I417" i="19" a="1"/>
  <c r="I417" i="19"/>
  <c r="I418" i="19" a="1"/>
  <c r="I418" i="19"/>
  <c r="I419" i="19" a="1"/>
  <c r="I419" i="19"/>
  <c r="I420" i="19" a="1"/>
  <c r="I420" i="19"/>
  <c r="I421" i="19" a="1"/>
  <c r="I421" i="19"/>
  <c r="I422" i="19" a="1"/>
  <c r="I422" i="19"/>
  <c r="I423" i="19" a="1"/>
  <c r="I423" i="19"/>
  <c r="I424" i="19" a="1"/>
  <c r="I424" i="19"/>
  <c r="I425" i="19" a="1"/>
  <c r="I425" i="19"/>
  <c r="I426" i="19" a="1"/>
  <c r="I426" i="19"/>
  <c r="I427" i="19" a="1"/>
  <c r="I427" i="19"/>
  <c r="I428" i="19" a="1"/>
  <c r="I428" i="19"/>
  <c r="I429" i="19" a="1"/>
  <c r="I429" i="19"/>
  <c r="I430" i="19" a="1"/>
  <c r="I430" i="19"/>
  <c r="I431" i="19" a="1"/>
  <c r="I431" i="19"/>
  <c r="I432" i="19" a="1"/>
  <c r="I432" i="19"/>
  <c r="I433" i="19" a="1"/>
  <c r="I433" i="19"/>
  <c r="I434" i="19" a="1"/>
  <c r="I434" i="19"/>
  <c r="I435" i="19" a="1"/>
  <c r="I435" i="19"/>
  <c r="I436" i="19" a="1"/>
  <c r="I436" i="19"/>
  <c r="I437" i="19" a="1"/>
  <c r="I437" i="19"/>
  <c r="I438" i="19" a="1"/>
  <c r="I438" i="19"/>
  <c r="I439" i="19" a="1"/>
  <c r="I439" i="19"/>
  <c r="I440" i="19" a="1"/>
  <c r="I440" i="19"/>
  <c r="I441" i="19" a="1"/>
  <c r="I441" i="19"/>
  <c r="I442" i="19" a="1"/>
  <c r="I442" i="19"/>
  <c r="I443" i="19" a="1"/>
  <c r="I443" i="19"/>
  <c r="I444" i="19" a="1"/>
  <c r="I444" i="19"/>
  <c r="I445" i="19" a="1"/>
  <c r="I445" i="19"/>
  <c r="I446" i="19" a="1"/>
  <c r="I446" i="19"/>
  <c r="I447" i="19" a="1"/>
  <c r="I447" i="19"/>
  <c r="I448" i="19" a="1"/>
  <c r="I448" i="19"/>
  <c r="I449" i="19" a="1"/>
  <c r="I449" i="19"/>
  <c r="I450" i="19" a="1"/>
  <c r="I450" i="19"/>
  <c r="I451" i="19" a="1"/>
  <c r="I451" i="19"/>
  <c r="I452" i="19" a="1"/>
  <c r="I452" i="19"/>
  <c r="I453" i="19" a="1"/>
  <c r="I453" i="19"/>
  <c r="I454" i="19" a="1"/>
  <c r="I454" i="19"/>
  <c r="I455" i="19" a="1"/>
  <c r="I455" i="19"/>
  <c r="I456" i="19" a="1"/>
  <c r="I456" i="19"/>
  <c r="I457" i="19" a="1"/>
  <c r="I457" i="19"/>
  <c r="I458" i="19" a="1"/>
  <c r="I458" i="19"/>
  <c r="I459" i="19" a="1"/>
  <c r="I459" i="19"/>
  <c r="I460" i="19" a="1"/>
  <c r="I460" i="19"/>
  <c r="I461" i="19" a="1"/>
  <c r="I461" i="19"/>
  <c r="I462" i="19" a="1"/>
  <c r="I462" i="19"/>
  <c r="I463" i="19" a="1"/>
  <c r="I463" i="19"/>
  <c r="I464" i="19" a="1"/>
  <c r="I464" i="19"/>
  <c r="I465" i="19" a="1"/>
  <c r="I465" i="19"/>
  <c r="I466" i="19" a="1"/>
  <c r="I466" i="19"/>
  <c r="I467" i="19" a="1"/>
  <c r="I467" i="19"/>
  <c r="I468" i="19" a="1"/>
  <c r="I468" i="19"/>
  <c r="I469" i="19" a="1"/>
  <c r="I469" i="19"/>
  <c r="I470" i="19" a="1"/>
  <c r="I470" i="19"/>
  <c r="I471" i="19" a="1"/>
  <c r="I471" i="19"/>
  <c r="I472" i="19" a="1"/>
  <c r="I472" i="19"/>
  <c r="I473" i="19" a="1"/>
  <c r="I473" i="19"/>
  <c r="I474" i="19" a="1"/>
  <c r="I474" i="19"/>
  <c r="I475" i="19" a="1"/>
  <c r="I475" i="19"/>
  <c r="I476" i="19" a="1"/>
  <c r="I476" i="19"/>
  <c r="I477" i="19" a="1"/>
  <c r="I477" i="19"/>
  <c r="I478" i="19" a="1"/>
  <c r="I478" i="19"/>
  <c r="I479" i="19" a="1"/>
  <c r="I479" i="19"/>
  <c r="I480" i="19" a="1"/>
  <c r="I480" i="19"/>
  <c r="I481" i="19" a="1"/>
  <c r="I481" i="19"/>
  <c r="I482" i="19" a="1"/>
  <c r="I482" i="19"/>
  <c r="I483" i="19" a="1"/>
  <c r="I483" i="19"/>
  <c r="I484" i="19" a="1"/>
  <c r="I484" i="19"/>
  <c r="I485" i="19" a="1"/>
  <c r="I485" i="19"/>
  <c r="I486" i="19" a="1"/>
  <c r="I486" i="19"/>
  <c r="I487" i="19" a="1"/>
  <c r="I487" i="19"/>
  <c r="I488" i="19" a="1"/>
  <c r="I488" i="19"/>
  <c r="I489" i="19" a="1"/>
  <c r="I489" i="19"/>
  <c r="I490" i="19" a="1"/>
  <c r="I490" i="19"/>
  <c r="I491" i="19" a="1"/>
  <c r="I491" i="19"/>
  <c r="I492" i="19" a="1"/>
  <c r="I492" i="19"/>
  <c r="I493" i="19" a="1"/>
  <c r="I493" i="19"/>
  <c r="I494" i="19" a="1"/>
  <c r="I494" i="19"/>
  <c r="I495" i="19" a="1"/>
  <c r="I495" i="19"/>
  <c r="I496" i="19" a="1"/>
  <c r="I496" i="19"/>
  <c r="I497" i="19" a="1"/>
  <c r="I497" i="19"/>
  <c r="I498" i="19" a="1"/>
  <c r="I498" i="19"/>
  <c r="I499" i="19" a="1"/>
  <c r="I499" i="19"/>
  <c r="I500" i="19" a="1"/>
  <c r="I500" i="19"/>
  <c r="I501" i="19" a="1"/>
  <c r="I501" i="19"/>
  <c r="I502" i="19" a="1"/>
  <c r="I502" i="19"/>
  <c r="I503" i="19" a="1"/>
  <c r="I503" i="19"/>
  <c r="I504" i="19" a="1"/>
  <c r="I504" i="19"/>
  <c r="I505" i="19" a="1"/>
  <c r="I505" i="19"/>
  <c r="I506" i="19" a="1"/>
  <c r="I506" i="19"/>
  <c r="I507" i="19" a="1"/>
  <c r="I507" i="19"/>
  <c r="I508" i="19" a="1"/>
  <c r="I508" i="19"/>
  <c r="I509" i="19" a="1"/>
  <c r="I509" i="19"/>
  <c r="I510" i="19" a="1"/>
  <c r="I510" i="19"/>
  <c r="I511" i="19" a="1"/>
  <c r="I511" i="19"/>
  <c r="I512" i="19" a="1"/>
  <c r="I512" i="19"/>
  <c r="I513" i="19" a="1"/>
  <c r="I513" i="19"/>
  <c r="I514" i="19" a="1"/>
  <c r="I514" i="19"/>
  <c r="I515" i="19" a="1"/>
  <c r="I515" i="19"/>
  <c r="I516" i="19" a="1"/>
  <c r="I516" i="19"/>
  <c r="I517" i="19" a="1"/>
  <c r="I517" i="19"/>
  <c r="I518" i="19" a="1"/>
  <c r="I518" i="19"/>
  <c r="I519" i="19" a="1"/>
  <c r="I519" i="19"/>
  <c r="I520" i="19" a="1"/>
  <c r="I520" i="19"/>
  <c r="I521" i="19" a="1"/>
  <c r="I521" i="19"/>
  <c r="I522" i="19" a="1"/>
  <c r="I522" i="19"/>
  <c r="I523" i="19" a="1"/>
  <c r="I523" i="19"/>
  <c r="I524" i="19" a="1"/>
  <c r="I524" i="19"/>
  <c r="I525" i="19" a="1"/>
  <c r="I525" i="19"/>
  <c r="I526" i="19" a="1"/>
  <c r="I526" i="19"/>
  <c r="I527" i="19" a="1"/>
  <c r="I527" i="19"/>
  <c r="I528" i="19" a="1"/>
  <c r="I528" i="19"/>
  <c r="I529" i="19" a="1"/>
  <c r="I529" i="19"/>
  <c r="I530" i="19" a="1"/>
  <c r="I530" i="19"/>
  <c r="I531" i="19" a="1"/>
  <c r="I531" i="19"/>
  <c r="I532" i="19" a="1"/>
  <c r="I532" i="19"/>
  <c r="I533" i="19" a="1"/>
  <c r="I533" i="19"/>
  <c r="I534" i="19" a="1"/>
  <c r="I534" i="19"/>
  <c r="I535" i="19" a="1"/>
  <c r="I535" i="19"/>
  <c r="I536" i="19" a="1"/>
  <c r="I536" i="19"/>
  <c r="I537" i="19" a="1"/>
  <c r="I537" i="19"/>
  <c r="I538" i="19" a="1"/>
  <c r="I538" i="19"/>
  <c r="I539" i="19" a="1"/>
  <c r="I539" i="19"/>
  <c r="I540" i="19" a="1"/>
  <c r="I540" i="19"/>
  <c r="I541" i="19" a="1"/>
  <c r="I541" i="19"/>
  <c r="I542" i="19" a="1"/>
  <c r="I542" i="19"/>
  <c r="I543" i="19" a="1"/>
  <c r="I543" i="19"/>
  <c r="I544" i="19" a="1"/>
  <c r="I544" i="19"/>
  <c r="I545" i="19" a="1"/>
  <c r="I545" i="19"/>
  <c r="I546" i="19" a="1"/>
  <c r="I546" i="19"/>
  <c r="I547" i="19" a="1"/>
  <c r="I547" i="19"/>
  <c r="I548" i="19" a="1"/>
  <c r="I548" i="19"/>
  <c r="I549" i="19" a="1"/>
  <c r="I549" i="19"/>
  <c r="I550" i="19" a="1"/>
  <c r="I550" i="19"/>
  <c r="I551" i="19" a="1"/>
  <c r="I551" i="19"/>
  <c r="I552" i="19" a="1"/>
  <c r="I552" i="19"/>
  <c r="I553" i="19" a="1"/>
  <c r="I553" i="19"/>
  <c r="I554" i="19" a="1"/>
  <c r="I554" i="19"/>
  <c r="I555" i="19" a="1"/>
  <c r="I555" i="19"/>
  <c r="I556" i="19" a="1"/>
  <c r="I556" i="19"/>
  <c r="I557" i="19" a="1"/>
  <c r="I557" i="19"/>
  <c r="I558" i="19" a="1"/>
  <c r="I558" i="19"/>
  <c r="I559" i="19" a="1"/>
  <c r="I559" i="19"/>
  <c r="I560" i="19" a="1"/>
  <c r="I560" i="19"/>
  <c r="I561" i="19" a="1"/>
  <c r="I561" i="19"/>
  <c r="I562" i="19" a="1"/>
  <c r="I562" i="19"/>
  <c r="I563" i="19" a="1"/>
  <c r="I563" i="19"/>
  <c r="I564" i="19" a="1"/>
  <c r="I564" i="19"/>
  <c r="I565" i="19" a="1"/>
  <c r="I565" i="19"/>
  <c r="I566" i="19" a="1"/>
  <c r="I566" i="19"/>
  <c r="I567" i="19" a="1"/>
  <c r="I567" i="19"/>
  <c r="I568" i="19" a="1"/>
  <c r="I568" i="19"/>
  <c r="I569" i="19" a="1"/>
  <c r="I569" i="19"/>
  <c r="I570" i="19" a="1"/>
  <c r="I570" i="19"/>
  <c r="I571" i="19" a="1"/>
  <c r="I571" i="19"/>
  <c r="I572" i="19" a="1"/>
  <c r="I572" i="19"/>
  <c r="I573" i="19" a="1"/>
  <c r="I573" i="19"/>
  <c r="I574" i="19" a="1"/>
  <c r="I574" i="19"/>
  <c r="I575" i="19" a="1"/>
  <c r="I575" i="19"/>
  <c r="I576" i="19" a="1"/>
  <c r="I576" i="19"/>
  <c r="I577" i="19" a="1"/>
  <c r="I577" i="19"/>
  <c r="I578" i="19" a="1"/>
  <c r="I578" i="19"/>
  <c r="I579" i="19" a="1"/>
  <c r="I579" i="19"/>
  <c r="I580" i="19" a="1"/>
  <c r="I580" i="19"/>
  <c r="I581" i="19" a="1"/>
  <c r="I581" i="19"/>
  <c r="I582" i="19" a="1"/>
  <c r="I582" i="19"/>
  <c r="I583" i="19" a="1"/>
  <c r="I583" i="19"/>
  <c r="I584" i="19" a="1"/>
  <c r="I584" i="19"/>
  <c r="I585" i="19" a="1"/>
  <c r="I585" i="19"/>
  <c r="I586" i="19" a="1"/>
  <c r="I586" i="19"/>
  <c r="I587" i="19" a="1"/>
  <c r="I587" i="19"/>
  <c r="I588" i="19" a="1"/>
  <c r="I588" i="19"/>
  <c r="I589" i="19" a="1"/>
  <c r="I589" i="19"/>
  <c r="I590" i="19" a="1"/>
  <c r="I590" i="19"/>
  <c r="I591" i="19" a="1"/>
  <c r="I591" i="19"/>
  <c r="I592" i="19" a="1"/>
  <c r="I592" i="19"/>
  <c r="I593" i="19" a="1"/>
  <c r="I593" i="19"/>
  <c r="I594" i="19" a="1"/>
  <c r="I594" i="19"/>
  <c r="I595" i="19" a="1"/>
  <c r="I595" i="19"/>
  <c r="I596" i="19" a="1"/>
  <c r="I596" i="19"/>
  <c r="I597" i="19" a="1"/>
  <c r="I597" i="19"/>
  <c r="I598" i="19" a="1"/>
  <c r="I598" i="19"/>
  <c r="I599" i="19" a="1"/>
  <c r="I599" i="19"/>
  <c r="I600" i="19" a="1"/>
  <c r="I600" i="19"/>
  <c r="I601" i="19" a="1"/>
  <c r="I601" i="19"/>
  <c r="I602" i="19" a="1"/>
  <c r="I602" i="19"/>
  <c r="I603" i="19" a="1"/>
  <c r="I603" i="19"/>
  <c r="I604" i="19" a="1"/>
  <c r="I604" i="19"/>
  <c r="I605" i="19" a="1"/>
  <c r="I605" i="19"/>
  <c r="I606" i="19" a="1"/>
  <c r="I606" i="19"/>
  <c r="I607" i="19" a="1"/>
  <c r="I607" i="19"/>
  <c r="I608" i="19" a="1"/>
  <c r="I608" i="19"/>
  <c r="I609" i="19" a="1"/>
  <c r="I609" i="19"/>
  <c r="I610" i="19" a="1"/>
  <c r="I610" i="19"/>
  <c r="I611" i="19" a="1"/>
  <c r="I611" i="19"/>
  <c r="I612" i="19" a="1"/>
  <c r="I612" i="19"/>
  <c r="I613" i="19" a="1"/>
  <c r="I613" i="19"/>
  <c r="I614" i="19" a="1"/>
  <c r="I614" i="19"/>
  <c r="I615" i="19" a="1"/>
  <c r="I615" i="19"/>
  <c r="I616" i="19" a="1"/>
  <c r="I616" i="19"/>
  <c r="I617" i="19" a="1"/>
  <c r="I617" i="19"/>
  <c r="I618" i="19" a="1"/>
  <c r="I618" i="19"/>
  <c r="I619" i="19" a="1"/>
  <c r="I619" i="19"/>
  <c r="I620" i="19" a="1"/>
  <c r="I620" i="19"/>
  <c r="I621" i="19" a="1"/>
  <c r="I621" i="19"/>
  <c r="I622" i="19" a="1"/>
  <c r="I622" i="19"/>
  <c r="I623" i="19" a="1"/>
  <c r="I623" i="19"/>
  <c r="I624" i="19" a="1"/>
  <c r="I624" i="19"/>
  <c r="I625" i="19" a="1"/>
  <c r="I625" i="19"/>
  <c r="I626" i="19" a="1"/>
  <c r="I626" i="19"/>
  <c r="I627" i="19" a="1"/>
  <c r="I627" i="19"/>
  <c r="I628" i="19" a="1"/>
  <c r="I628" i="19"/>
  <c r="I629" i="19" a="1"/>
  <c r="I629" i="19"/>
  <c r="I630" i="19" a="1"/>
  <c r="I630" i="19"/>
  <c r="I631" i="19" a="1"/>
  <c r="I631" i="19"/>
  <c r="I632" i="19" a="1"/>
  <c r="I632" i="19"/>
  <c r="I633" i="19" a="1"/>
  <c r="I633" i="19"/>
  <c r="I634" i="19" a="1"/>
  <c r="I634" i="19"/>
  <c r="I635" i="19" a="1"/>
  <c r="I635" i="19"/>
  <c r="I636" i="19" a="1"/>
  <c r="I636" i="19"/>
  <c r="I637" i="19" a="1"/>
  <c r="I637" i="19"/>
  <c r="I638" i="19" a="1"/>
  <c r="I638" i="19"/>
  <c r="I639" i="19" a="1"/>
  <c r="I639" i="19"/>
  <c r="I640" i="19" a="1"/>
  <c r="I640" i="19"/>
  <c r="I641" i="19" a="1"/>
  <c r="I641" i="19"/>
  <c r="I642" i="19" a="1"/>
  <c r="I642" i="19"/>
  <c r="I643" i="19" a="1"/>
  <c r="I643" i="19"/>
  <c r="I644" i="19" a="1"/>
  <c r="I644" i="19"/>
  <c r="I645" i="19" a="1"/>
  <c r="I645" i="19"/>
  <c r="I646" i="19" a="1"/>
  <c r="I646" i="19"/>
  <c r="I647" i="19" a="1"/>
  <c r="I647" i="19"/>
  <c r="I648" i="19" a="1"/>
  <c r="I648" i="19"/>
  <c r="I649" i="19" a="1"/>
  <c r="I649" i="19"/>
  <c r="I650" i="19" a="1"/>
  <c r="I650" i="19"/>
  <c r="I651" i="19" a="1"/>
  <c r="I651" i="19"/>
  <c r="I652" i="19" a="1"/>
  <c r="I652" i="19"/>
  <c r="I653" i="19" a="1"/>
  <c r="I653" i="19"/>
  <c r="I654" i="19" a="1"/>
  <c r="I654" i="19"/>
  <c r="I655" i="19" a="1"/>
  <c r="I655" i="19"/>
  <c r="I656" i="19" a="1"/>
  <c r="I656" i="19"/>
  <c r="I657" i="19" a="1"/>
  <c r="I657" i="19"/>
  <c r="I658" i="19" a="1"/>
  <c r="I658" i="19"/>
  <c r="I659" i="19" a="1"/>
  <c r="I659" i="19"/>
  <c r="I660" i="19" a="1"/>
  <c r="I660" i="19"/>
  <c r="I661" i="19" a="1"/>
  <c r="I661" i="19"/>
  <c r="I662" i="19" a="1"/>
  <c r="I662" i="19"/>
  <c r="I663" i="19" a="1"/>
  <c r="I663" i="19"/>
  <c r="I664" i="19" a="1"/>
  <c r="I664" i="19"/>
  <c r="I665" i="19" a="1"/>
  <c r="I665" i="19"/>
  <c r="I666" i="19" a="1"/>
  <c r="I666" i="19"/>
  <c r="I667" i="19" a="1"/>
  <c r="I667" i="19"/>
  <c r="I668" i="19" a="1"/>
  <c r="I668" i="19"/>
  <c r="I669" i="19" a="1"/>
  <c r="I669" i="19"/>
  <c r="I670" i="19" a="1"/>
  <c r="I670" i="19"/>
  <c r="I671" i="19" a="1"/>
  <c r="I671" i="19"/>
  <c r="I672" i="19" a="1"/>
  <c r="I672" i="19"/>
  <c r="I673" i="19" a="1"/>
  <c r="I673" i="19"/>
  <c r="I674" i="19" a="1"/>
  <c r="I674" i="19"/>
  <c r="I675" i="19" a="1"/>
  <c r="I675" i="19"/>
  <c r="I676" i="19" a="1"/>
  <c r="I676" i="19"/>
  <c r="I677" i="19" a="1"/>
  <c r="I677" i="19"/>
  <c r="I678" i="19" a="1"/>
  <c r="I678" i="19"/>
  <c r="I679" i="19" a="1"/>
  <c r="I679" i="19"/>
  <c r="I680" i="19" a="1"/>
  <c r="I680" i="19"/>
  <c r="I681" i="19" a="1"/>
  <c r="I681" i="19"/>
  <c r="I682" i="19" a="1"/>
  <c r="I682" i="19"/>
  <c r="I683" i="19" a="1"/>
  <c r="I683" i="19"/>
  <c r="I684" i="19" a="1"/>
  <c r="I684" i="19"/>
  <c r="I685" i="19" a="1"/>
  <c r="I685" i="19"/>
  <c r="I686" i="19" a="1"/>
  <c r="I686" i="19"/>
  <c r="I687" i="19" a="1"/>
  <c r="I687" i="19"/>
  <c r="I688" i="19" a="1"/>
  <c r="I688" i="19"/>
  <c r="I689" i="19" a="1"/>
  <c r="I689" i="19"/>
  <c r="I690" i="19" a="1"/>
  <c r="I690" i="19"/>
  <c r="I691" i="19" a="1"/>
  <c r="I691" i="19"/>
  <c r="I692" i="19" a="1"/>
  <c r="I692" i="19"/>
  <c r="I693" i="19" a="1"/>
  <c r="I693" i="19"/>
  <c r="I694" i="19" a="1"/>
  <c r="I694" i="19"/>
  <c r="I695" i="19" a="1"/>
  <c r="I695" i="19"/>
  <c r="I696" i="19" a="1"/>
  <c r="I696" i="19"/>
  <c r="I697" i="19" a="1"/>
  <c r="I697" i="19"/>
  <c r="I698" i="19" a="1"/>
  <c r="I698" i="19"/>
  <c r="I699" i="19" a="1"/>
  <c r="I699" i="19"/>
  <c r="I700" i="19" a="1"/>
  <c r="I700" i="19"/>
  <c r="I701" i="19" a="1"/>
  <c r="I701" i="19"/>
  <c r="I702" i="19" a="1"/>
  <c r="I702" i="19"/>
  <c r="I703" i="19" a="1"/>
  <c r="I703" i="19"/>
  <c r="I704" i="19" a="1"/>
  <c r="I704" i="19"/>
  <c r="I705" i="19" a="1"/>
  <c r="I705" i="19"/>
  <c r="I706" i="19" a="1"/>
  <c r="I706" i="19"/>
  <c r="I707" i="19" a="1"/>
  <c r="I707" i="19"/>
  <c r="I708" i="19" a="1"/>
  <c r="I708" i="19"/>
  <c r="I709" i="19" a="1"/>
  <c r="I709" i="19"/>
  <c r="I710" i="19" a="1"/>
  <c r="I710" i="19"/>
  <c r="I711" i="19" a="1"/>
  <c r="I711" i="19"/>
  <c r="I712" i="19" a="1"/>
  <c r="I712" i="19"/>
  <c r="I713" i="19" a="1"/>
  <c r="I713" i="19"/>
  <c r="I714" i="19" a="1"/>
  <c r="I714" i="19"/>
  <c r="I715" i="19" a="1"/>
  <c r="I715" i="19"/>
  <c r="I716" i="19" a="1"/>
  <c r="I716" i="19"/>
  <c r="I717" i="19" a="1"/>
  <c r="I717" i="19"/>
  <c r="I718" i="19" a="1"/>
  <c r="I718" i="19"/>
  <c r="I719" i="19" a="1"/>
  <c r="I719" i="19"/>
  <c r="I720" i="19" a="1"/>
  <c r="I720" i="19"/>
  <c r="I721" i="19" a="1"/>
  <c r="I721" i="19"/>
  <c r="I722" i="19" a="1"/>
  <c r="I722" i="19"/>
  <c r="I723" i="19" a="1"/>
  <c r="I723" i="19"/>
  <c r="I724" i="19" a="1"/>
  <c r="I724" i="19"/>
  <c r="I725" i="19" a="1"/>
  <c r="I725" i="19"/>
  <c r="I726" i="19" a="1"/>
  <c r="I726" i="19"/>
  <c r="I727" i="19" a="1"/>
  <c r="I727" i="19"/>
  <c r="I728" i="19" a="1"/>
  <c r="I728" i="19"/>
  <c r="I729" i="19" a="1"/>
  <c r="I729" i="19"/>
  <c r="I730" i="19" a="1"/>
  <c r="I730" i="19"/>
  <c r="I731" i="19" a="1"/>
  <c r="I731" i="19"/>
  <c r="I732" i="19" a="1"/>
  <c r="I732" i="19"/>
  <c r="I733" i="19" a="1"/>
  <c r="I733" i="19"/>
  <c r="I734" i="19" a="1"/>
  <c r="I734" i="19"/>
  <c r="I735" i="19" a="1"/>
  <c r="I735" i="19"/>
  <c r="I736" i="19" a="1"/>
  <c r="I736" i="19"/>
  <c r="I737" i="19" a="1"/>
  <c r="I737" i="19"/>
  <c r="I738" i="19" a="1"/>
  <c r="I738" i="19"/>
  <c r="I739" i="19" a="1"/>
  <c r="I739" i="19"/>
  <c r="I740" i="19" a="1"/>
  <c r="I740" i="19"/>
  <c r="I741" i="19" a="1"/>
  <c r="I741" i="19"/>
  <c r="I742" i="19" a="1"/>
  <c r="I742" i="19"/>
  <c r="I743" i="19" a="1"/>
  <c r="I743" i="19"/>
  <c r="I744" i="19" a="1"/>
  <c r="I744" i="19"/>
  <c r="I745" i="19" a="1"/>
  <c r="I745" i="19"/>
  <c r="I746" i="19" a="1"/>
  <c r="I746" i="19"/>
  <c r="I747" i="19" a="1"/>
  <c r="I747" i="19"/>
  <c r="I748" i="19" a="1"/>
  <c r="I748" i="19"/>
  <c r="I749" i="19" a="1"/>
  <c r="I749" i="19"/>
  <c r="I750" i="19" a="1"/>
  <c r="I750" i="19"/>
  <c r="I751" i="19" a="1"/>
  <c r="I751" i="19"/>
  <c r="I752" i="19" a="1"/>
  <c r="I752" i="19"/>
  <c r="I753" i="19" a="1"/>
  <c r="I753" i="19"/>
  <c r="I754" i="19" a="1"/>
  <c r="I754" i="19"/>
  <c r="I755" i="19" a="1"/>
  <c r="I755" i="19"/>
  <c r="I756" i="19" a="1"/>
  <c r="I756" i="19"/>
  <c r="I757" i="19" a="1"/>
  <c r="I757" i="19"/>
  <c r="I758" i="19" a="1"/>
  <c r="I758" i="19"/>
  <c r="I759" i="19" a="1"/>
  <c r="I759" i="19"/>
  <c r="I760" i="19" a="1"/>
  <c r="I760" i="19"/>
  <c r="I761" i="19" a="1"/>
  <c r="I761" i="19"/>
  <c r="I762" i="19" a="1"/>
  <c r="I762" i="19"/>
  <c r="I763" i="19" a="1"/>
  <c r="I763" i="19"/>
  <c r="I764" i="19" a="1"/>
  <c r="I764" i="19"/>
  <c r="I765" i="19" a="1"/>
  <c r="I765" i="19"/>
  <c r="I766" i="19" a="1"/>
  <c r="I766" i="19"/>
  <c r="I767" i="19" a="1"/>
  <c r="I767" i="19"/>
  <c r="I768" i="19" a="1"/>
  <c r="I768" i="19"/>
  <c r="I769" i="19" a="1"/>
  <c r="I769" i="19"/>
  <c r="I770" i="19" a="1"/>
  <c r="I770" i="19"/>
  <c r="I771" i="19" a="1"/>
  <c r="I771" i="19"/>
  <c r="I772" i="19" a="1"/>
  <c r="I772" i="19"/>
  <c r="I773" i="19" a="1"/>
  <c r="I773" i="19"/>
  <c r="I774" i="19" a="1"/>
  <c r="I774" i="19"/>
  <c r="I775" i="19" a="1"/>
  <c r="I775" i="19"/>
  <c r="I776" i="19" a="1"/>
  <c r="I776" i="19"/>
  <c r="I777" i="19" a="1"/>
  <c r="I777" i="19"/>
  <c r="I778" i="19" a="1"/>
  <c r="I778" i="19"/>
  <c r="I779" i="19" a="1"/>
  <c r="I779" i="19"/>
  <c r="I780" i="19" a="1"/>
  <c r="I780" i="19"/>
  <c r="I781" i="19" a="1"/>
  <c r="I781" i="19"/>
  <c r="I782" i="19" a="1"/>
  <c r="I782" i="19"/>
  <c r="I783" i="19" a="1"/>
  <c r="I783" i="19"/>
  <c r="I784" i="19" a="1"/>
  <c r="I784" i="19"/>
  <c r="I785" i="19" a="1"/>
  <c r="I785" i="19"/>
  <c r="I786" i="19" a="1"/>
  <c r="I786" i="19"/>
  <c r="I787" i="19" a="1"/>
  <c r="I787" i="19"/>
  <c r="I788" i="19" a="1"/>
  <c r="I788" i="19"/>
  <c r="I789" i="19" a="1"/>
  <c r="I789" i="19"/>
  <c r="I790" i="19" a="1"/>
  <c r="I790" i="19"/>
  <c r="I791" i="19" a="1"/>
  <c r="I791" i="19"/>
  <c r="I792" i="19" a="1"/>
  <c r="I792" i="19"/>
  <c r="I793" i="19" a="1"/>
  <c r="I793" i="19"/>
  <c r="I794" i="19" a="1"/>
  <c r="I794" i="19"/>
  <c r="I795" i="19" a="1"/>
  <c r="I795" i="19"/>
  <c r="I796" i="19" a="1"/>
  <c r="I796" i="19"/>
  <c r="I797" i="19" a="1"/>
  <c r="I797" i="19"/>
  <c r="I798" i="19" a="1"/>
  <c r="I798" i="19"/>
  <c r="I799" i="19" a="1"/>
  <c r="I799" i="19"/>
  <c r="I800" i="19" a="1"/>
  <c r="I800" i="19"/>
  <c r="I801" i="19" a="1"/>
  <c r="I801" i="19"/>
  <c r="I802" i="19" a="1"/>
  <c r="I802" i="19"/>
  <c r="I803" i="19" a="1"/>
  <c r="I803" i="19"/>
  <c r="I804" i="19" a="1"/>
  <c r="I804" i="19"/>
  <c r="I805" i="19" a="1"/>
  <c r="I805" i="19"/>
  <c r="I806" i="19" a="1"/>
  <c r="I806" i="19"/>
  <c r="I807" i="19" a="1"/>
  <c r="I807" i="19"/>
  <c r="I808" i="19" a="1"/>
  <c r="I808" i="19"/>
  <c r="I809" i="19" a="1"/>
  <c r="I809" i="19"/>
  <c r="I810" i="19" a="1"/>
  <c r="I810" i="19"/>
  <c r="I811" i="19" a="1"/>
  <c r="I811" i="19"/>
  <c r="I812" i="19" a="1"/>
  <c r="I812" i="19"/>
  <c r="I813" i="19" a="1"/>
  <c r="I813" i="19"/>
  <c r="I814" i="19" a="1"/>
  <c r="I814" i="19"/>
  <c r="I815" i="19" a="1"/>
  <c r="I815" i="19"/>
  <c r="I816" i="19" a="1"/>
  <c r="I816" i="19"/>
  <c r="I817" i="19" a="1"/>
  <c r="I817" i="19"/>
  <c r="I818" i="19" a="1"/>
  <c r="I818" i="19"/>
  <c r="I819" i="19" a="1"/>
  <c r="I819" i="19"/>
  <c r="I820" i="19" a="1"/>
  <c r="I820" i="19"/>
  <c r="I821" i="19" a="1"/>
  <c r="I821" i="19"/>
  <c r="I822" i="19" a="1"/>
  <c r="I822" i="19"/>
  <c r="I823" i="19" a="1"/>
  <c r="I823" i="19"/>
  <c r="I824" i="19" a="1"/>
  <c r="I824" i="19"/>
  <c r="I825" i="19" a="1"/>
  <c r="I825" i="19"/>
  <c r="I826" i="19" a="1"/>
  <c r="I826" i="19"/>
  <c r="I827" i="19" a="1"/>
  <c r="I827" i="19"/>
  <c r="I828" i="19" a="1"/>
  <c r="I828" i="19"/>
  <c r="I829" i="19" a="1"/>
  <c r="I829" i="19"/>
  <c r="I830" i="19" a="1"/>
  <c r="I830" i="19"/>
  <c r="I831" i="19" a="1"/>
  <c r="I831" i="19"/>
  <c r="I832" i="19" a="1"/>
  <c r="I832" i="19"/>
  <c r="I833" i="19" a="1"/>
  <c r="I833" i="19"/>
  <c r="I834" i="19" a="1"/>
  <c r="I834" i="19"/>
  <c r="I835" i="19" a="1"/>
  <c r="I835" i="19"/>
  <c r="I836" i="19" a="1"/>
  <c r="I836" i="19"/>
  <c r="I837" i="19" a="1"/>
  <c r="I837" i="19"/>
  <c r="I838" i="19" a="1"/>
  <c r="I838" i="19"/>
  <c r="I839" i="19" a="1"/>
  <c r="I839" i="19"/>
  <c r="I840" i="19" a="1"/>
  <c r="I840" i="19"/>
  <c r="I841" i="19" a="1"/>
  <c r="I841" i="19"/>
  <c r="I842" i="19" a="1"/>
  <c r="I842" i="19"/>
  <c r="I843" i="19" a="1"/>
  <c r="I843" i="19"/>
  <c r="I844" i="19" a="1"/>
  <c r="I844" i="19"/>
  <c r="I845" i="19" a="1"/>
  <c r="I845" i="19"/>
  <c r="I846" i="19" a="1"/>
  <c r="I846" i="19"/>
  <c r="I847" i="19" a="1"/>
  <c r="I847" i="19"/>
  <c r="I848" i="19" a="1"/>
  <c r="I848" i="19"/>
  <c r="I849" i="19" a="1"/>
  <c r="I849" i="19"/>
  <c r="I850" i="19" a="1"/>
  <c r="I850" i="19"/>
  <c r="I851" i="19" a="1"/>
  <c r="I851" i="19"/>
  <c r="I852" i="19" a="1"/>
  <c r="I852" i="19"/>
  <c r="I853" i="19" a="1"/>
  <c r="I853" i="19"/>
  <c r="I854" i="19" a="1"/>
  <c r="I854" i="19"/>
  <c r="I855" i="19" a="1"/>
  <c r="I855" i="19"/>
  <c r="I856" i="19" a="1"/>
  <c r="I856" i="19"/>
  <c r="I857" i="19" a="1"/>
  <c r="I857" i="19"/>
  <c r="I858" i="19" a="1"/>
  <c r="I858" i="19"/>
  <c r="I859" i="19" a="1"/>
  <c r="I859" i="19"/>
  <c r="I860" i="19" a="1"/>
  <c r="I860" i="19"/>
  <c r="I861" i="19" a="1"/>
  <c r="I861" i="19"/>
  <c r="I862" i="19" a="1"/>
  <c r="I862" i="19"/>
  <c r="I863" i="19" a="1"/>
  <c r="I863" i="19"/>
  <c r="I864" i="19" a="1"/>
  <c r="I864" i="19"/>
  <c r="I865" i="19" a="1"/>
  <c r="I865" i="19"/>
  <c r="I866" i="19" a="1"/>
  <c r="I866" i="19"/>
  <c r="I867" i="19" a="1"/>
  <c r="I867" i="19"/>
  <c r="I868" i="19" a="1"/>
  <c r="I868" i="19"/>
  <c r="I869" i="19" a="1"/>
  <c r="I869" i="19"/>
  <c r="I870" i="19" a="1"/>
  <c r="I870" i="19"/>
  <c r="I871" i="19" a="1"/>
  <c r="I871" i="19"/>
  <c r="I872" i="19" a="1"/>
  <c r="I872" i="19"/>
  <c r="I873" i="19" a="1"/>
  <c r="I873" i="19"/>
  <c r="I874" i="19" a="1"/>
  <c r="I874" i="19"/>
  <c r="I875" i="19" a="1"/>
  <c r="I875" i="19"/>
  <c r="I876" i="19" a="1"/>
  <c r="I876" i="19"/>
  <c r="I877" i="19" a="1"/>
  <c r="I877" i="19"/>
  <c r="I878" i="19" a="1"/>
  <c r="I878" i="19"/>
  <c r="I879" i="19" a="1"/>
  <c r="I879" i="19"/>
  <c r="I880" i="19" a="1"/>
  <c r="I880" i="19"/>
  <c r="I881" i="19" a="1"/>
  <c r="I881" i="19"/>
  <c r="I882" i="19" a="1"/>
  <c r="I882" i="19"/>
  <c r="I883" i="19" a="1"/>
  <c r="I883" i="19"/>
  <c r="I884" i="19" a="1"/>
  <c r="I884" i="19"/>
  <c r="I885" i="19" a="1"/>
  <c r="I885" i="19"/>
  <c r="I886" i="19" a="1"/>
  <c r="I886" i="19"/>
  <c r="I887" i="19" a="1"/>
  <c r="I887" i="19"/>
  <c r="I888" i="19" a="1"/>
  <c r="I888" i="19"/>
  <c r="I889" i="19" a="1"/>
  <c r="I889" i="19"/>
  <c r="I890" i="19" a="1"/>
  <c r="I890" i="19"/>
  <c r="I891" i="19" a="1"/>
  <c r="I891" i="19"/>
  <c r="I892" i="19" a="1"/>
  <c r="I892" i="19"/>
  <c r="I893" i="19" a="1"/>
  <c r="I893" i="19"/>
  <c r="I894" i="19" a="1"/>
  <c r="I894" i="19"/>
  <c r="I895" i="19" a="1"/>
  <c r="I895" i="19"/>
  <c r="I896" i="19" a="1"/>
  <c r="I896" i="19"/>
  <c r="I897" i="19" a="1"/>
  <c r="I897" i="19"/>
  <c r="I898" i="19" a="1"/>
  <c r="I898" i="19"/>
  <c r="I899" i="19" a="1"/>
  <c r="I899" i="19"/>
  <c r="I900" i="19" a="1"/>
  <c r="I900" i="19"/>
  <c r="I901" i="19" a="1"/>
  <c r="I901" i="19"/>
  <c r="I902" i="19" a="1"/>
  <c r="I902" i="19"/>
  <c r="I903" i="19" a="1"/>
  <c r="I903" i="19"/>
  <c r="I904" i="19" a="1"/>
  <c r="I904" i="19"/>
  <c r="I905" i="19" a="1"/>
  <c r="I905" i="19"/>
  <c r="I906" i="19" a="1"/>
  <c r="I906" i="19"/>
  <c r="I907" i="19" a="1"/>
  <c r="I907" i="19"/>
  <c r="I908" i="19" a="1"/>
  <c r="I908" i="19"/>
  <c r="I909" i="19" a="1"/>
  <c r="I909" i="19"/>
  <c r="I910" i="19" a="1"/>
  <c r="I910" i="19"/>
  <c r="I911" i="19" a="1"/>
  <c r="I911" i="19"/>
  <c r="I912" i="19" a="1"/>
  <c r="I912" i="19"/>
  <c r="I913" i="19" a="1"/>
  <c r="I913" i="19"/>
  <c r="I914" i="19" a="1"/>
  <c r="I914" i="19"/>
  <c r="I915" i="19" a="1"/>
  <c r="I915" i="19"/>
  <c r="I916" i="19" a="1"/>
  <c r="I916" i="19"/>
  <c r="I917" i="19" a="1"/>
  <c r="I917" i="19"/>
  <c r="I918" i="19" a="1"/>
  <c r="I918" i="19"/>
  <c r="I919" i="19" a="1"/>
  <c r="I919" i="19"/>
  <c r="I920" i="19" a="1"/>
  <c r="I920" i="19"/>
  <c r="I921" i="19" a="1"/>
  <c r="I921" i="19"/>
  <c r="I922" i="19" a="1"/>
  <c r="I922" i="19"/>
  <c r="I923" i="19" a="1"/>
  <c r="I923" i="19"/>
  <c r="I924" i="19" a="1"/>
  <c r="I924" i="19"/>
  <c r="I925" i="19" a="1"/>
  <c r="I925" i="19"/>
  <c r="I926" i="19" a="1"/>
  <c r="I926" i="19"/>
  <c r="I927" i="19" a="1"/>
  <c r="I927" i="19"/>
  <c r="I928" i="19" a="1"/>
  <c r="I928" i="19"/>
  <c r="I929" i="19" a="1"/>
  <c r="I929" i="19"/>
  <c r="I930" i="19" a="1"/>
  <c r="I930" i="19"/>
  <c r="I931" i="19" a="1"/>
  <c r="I931" i="19"/>
  <c r="I932" i="19" a="1"/>
  <c r="I932" i="19"/>
  <c r="I933" i="19" a="1"/>
  <c r="I933" i="19"/>
  <c r="I934" i="19" a="1"/>
  <c r="I934" i="19"/>
  <c r="I935" i="19" a="1"/>
  <c r="I935" i="19"/>
  <c r="I936" i="19" a="1"/>
  <c r="I936" i="19"/>
  <c r="I937" i="19" a="1"/>
  <c r="I937" i="19"/>
  <c r="I938" i="19" a="1"/>
  <c r="I938" i="19"/>
  <c r="I939" i="19" a="1"/>
  <c r="I939" i="19"/>
  <c r="I940" i="19" a="1"/>
  <c r="I940" i="19"/>
  <c r="I941" i="19" a="1"/>
  <c r="I941" i="19"/>
  <c r="I942" i="19" a="1"/>
  <c r="I942" i="19"/>
  <c r="I943" i="19" a="1"/>
  <c r="I943" i="19"/>
  <c r="I944" i="19" a="1"/>
  <c r="I944" i="19"/>
  <c r="I945" i="19" a="1"/>
  <c r="I945" i="19"/>
  <c r="I946" i="19" a="1"/>
  <c r="I946" i="19"/>
  <c r="I947" i="19" a="1"/>
  <c r="I947" i="19"/>
  <c r="I948" i="19" a="1"/>
  <c r="I948" i="19"/>
  <c r="I949" i="19" a="1"/>
  <c r="I949" i="19"/>
  <c r="I950" i="19" a="1"/>
  <c r="I950" i="19"/>
  <c r="I951" i="19" a="1"/>
  <c r="I951" i="19"/>
  <c r="I952" i="19" a="1"/>
  <c r="I952" i="19"/>
  <c r="I953" i="19" a="1"/>
  <c r="I953" i="19"/>
  <c r="I954" i="19" a="1"/>
  <c r="I954" i="19"/>
  <c r="I955" i="19" a="1"/>
  <c r="I955" i="19"/>
  <c r="I956" i="19" a="1"/>
  <c r="I956" i="19"/>
  <c r="I957" i="19" a="1"/>
  <c r="I957" i="19"/>
  <c r="I958" i="19" a="1"/>
  <c r="I958" i="19"/>
  <c r="I959" i="19" a="1"/>
  <c r="I959" i="19"/>
  <c r="I960" i="19" a="1"/>
  <c r="I960" i="19"/>
  <c r="I961" i="19" a="1"/>
  <c r="I961" i="19"/>
  <c r="I962" i="19" a="1"/>
  <c r="I962" i="19"/>
  <c r="I963" i="19" a="1"/>
  <c r="I963" i="19"/>
  <c r="I964" i="19" a="1"/>
  <c r="I964" i="19"/>
  <c r="I965" i="19" a="1"/>
  <c r="I965" i="19"/>
  <c r="I966" i="19" a="1"/>
  <c r="I966" i="19"/>
  <c r="I967" i="19" a="1"/>
  <c r="I967" i="19"/>
  <c r="I968" i="19" a="1"/>
  <c r="I968" i="19"/>
  <c r="I969" i="19" a="1"/>
  <c r="I969" i="19"/>
  <c r="I970" i="19" a="1"/>
  <c r="I970" i="19"/>
  <c r="I971" i="19" a="1"/>
  <c r="I971" i="19"/>
  <c r="I972" i="19" a="1"/>
  <c r="I972" i="19"/>
  <c r="I973" i="19" a="1"/>
  <c r="I973" i="19"/>
  <c r="I974" i="19" a="1"/>
  <c r="I974" i="19"/>
  <c r="I975" i="19" a="1"/>
  <c r="I975" i="19"/>
  <c r="I976" i="19" a="1"/>
  <c r="I976" i="19"/>
  <c r="I977" i="19" a="1"/>
  <c r="I977" i="19"/>
  <c r="I978" i="19" a="1"/>
  <c r="I978" i="19"/>
  <c r="I979" i="19" a="1"/>
  <c r="I979" i="19"/>
  <c r="I980" i="19" a="1"/>
  <c r="I980" i="19"/>
  <c r="I981" i="19" a="1"/>
  <c r="I981" i="19"/>
  <c r="I982" i="19" a="1"/>
  <c r="I982" i="19"/>
  <c r="I983" i="19" a="1"/>
  <c r="I983" i="19"/>
  <c r="I984" i="19" a="1"/>
  <c r="I984" i="19"/>
  <c r="I985" i="19" a="1"/>
  <c r="I985" i="19"/>
  <c r="I986" i="19" a="1"/>
  <c r="I986" i="19"/>
  <c r="I987" i="19" a="1"/>
  <c r="I987" i="19"/>
  <c r="I988" i="19" a="1"/>
  <c r="I988" i="19"/>
  <c r="I989" i="19" a="1"/>
  <c r="I989" i="19"/>
  <c r="I990" i="19" a="1"/>
  <c r="I990" i="19"/>
  <c r="I991" i="19" a="1"/>
  <c r="I991" i="19"/>
  <c r="I992" i="19" a="1"/>
  <c r="I992" i="19"/>
  <c r="I993" i="19" a="1"/>
  <c r="I993" i="19"/>
  <c r="I994" i="19" a="1"/>
  <c r="I994" i="19"/>
  <c r="I995" i="19" a="1"/>
  <c r="I995" i="19"/>
  <c r="I996" i="19" a="1"/>
  <c r="I996" i="19"/>
  <c r="I997" i="19" a="1"/>
  <c r="I997" i="19"/>
  <c r="I998" i="19" a="1"/>
  <c r="I998" i="19"/>
  <c r="I999" i="19" a="1"/>
  <c r="I999" i="19"/>
  <c r="I1000" i="19" a="1"/>
  <c r="I1000" i="19"/>
  <c r="I1001" i="19" a="1"/>
  <c r="I1001" i="19"/>
  <c r="I1002" i="19" a="1"/>
  <c r="I1002" i="19"/>
  <c r="I1003" i="19" a="1"/>
  <c r="I1003" i="19"/>
  <c r="I1004" i="19" a="1"/>
  <c r="I1004" i="19"/>
  <c r="I1005" i="19" a="1"/>
  <c r="I1005" i="19"/>
  <c r="I1006" i="19" a="1"/>
  <c r="I1006" i="19"/>
  <c r="I1007" i="19" a="1"/>
  <c r="I1007" i="19"/>
  <c r="I1008" i="19" a="1"/>
  <c r="I1008" i="19"/>
  <c r="I1009" i="19" a="1"/>
  <c r="I1009" i="19"/>
  <c r="I1010" i="19" a="1"/>
  <c r="I1010" i="19"/>
  <c r="I1011" i="19" a="1"/>
  <c r="I1011" i="19"/>
  <c r="I1012" i="19" a="1"/>
  <c r="I1012" i="19"/>
  <c r="I5" i="19" a="1"/>
  <c r="I5" i="19"/>
  <c r="H5" i="19" a="1"/>
  <c r="H5" i="19"/>
  <c r="I25" i="13"/>
  <c r="J25" i="13" a="1"/>
  <c r="J25" i="13"/>
  <c r="M25" i="13"/>
  <c r="L25" i="13"/>
  <c r="K25" i="13"/>
  <c r="L7" i="13"/>
  <c r="L9" i="13"/>
  <c r="L11" i="13"/>
  <c r="H3" i="19"/>
  <c r="A2" i="18" a="1"/>
  <c r="A2" i="18"/>
  <c r="A3" i="18"/>
  <c r="A4" i="18"/>
  <c r="A5" i="18"/>
  <c r="A6" i="18"/>
  <c r="A7" i="18"/>
  <c r="A8" i="18"/>
  <c r="A9" i="18"/>
  <c r="A10" i="18"/>
  <c r="A11" i="18"/>
  <c r="A12" i="18"/>
  <c r="A13" i="18"/>
  <c r="B1" i="18" a="1"/>
  <c r="B1" i="18"/>
  <c r="C1" i="18"/>
  <c r="D1" i="18"/>
  <c r="E1" i="18"/>
  <c r="F1" i="18"/>
  <c r="G1" i="18"/>
  <c r="H1" i="18"/>
  <c r="I1" i="18"/>
  <c r="J1" i="18"/>
  <c r="K1" i="18"/>
  <c r="A2" i="17" a="1"/>
  <c r="A2" i="17"/>
  <c r="A3" i="17"/>
  <c r="A4" i="17"/>
  <c r="A5" i="17"/>
  <c r="A6" i="17"/>
  <c r="A7" i="17"/>
  <c r="A8" i="17"/>
  <c r="A9" i="17"/>
  <c r="A10" i="17"/>
  <c r="A11" i="17"/>
  <c r="A12" i="17"/>
  <c r="A13" i="17"/>
  <c r="B1" i="17" a="1"/>
  <c r="B1" i="17"/>
  <c r="C1" i="17"/>
  <c r="D1" i="17"/>
  <c r="E1" i="17"/>
  <c r="F1" i="17"/>
  <c r="G1" i="17"/>
  <c r="H1" i="17"/>
  <c r="I1" i="17"/>
  <c r="J1" i="17"/>
  <c r="K1" i="17"/>
  <c r="A2" i="16" a="1"/>
  <c r="A2" i="16"/>
  <c r="A3" i="16"/>
  <c r="A4" i="16"/>
  <c r="A5" i="16"/>
  <c r="A6" i="16"/>
  <c r="A7" i="16"/>
  <c r="A8" i="16"/>
  <c r="A9" i="16"/>
  <c r="A10" i="16"/>
  <c r="A11" i="16"/>
  <c r="A12" i="16"/>
  <c r="A13" i="16"/>
  <c r="B1" i="16" a="1"/>
  <c r="B1" i="16"/>
  <c r="C1" i="16"/>
  <c r="D1" i="16"/>
  <c r="E1" i="16"/>
  <c r="F1" i="16"/>
  <c r="G1" i="16"/>
  <c r="H1" i="16"/>
  <c r="I1" i="16"/>
  <c r="J1" i="16"/>
  <c r="K1" i="16"/>
  <c r="A2" i="15" a="1"/>
  <c r="A2" i="15"/>
  <c r="A3" i="15"/>
  <c r="A4" i="15"/>
  <c r="A5" i="15"/>
  <c r="A6" i="15"/>
  <c r="A7" i="15"/>
  <c r="A8" i="15"/>
  <c r="A9" i="15"/>
  <c r="A10" i="15"/>
  <c r="A11" i="15"/>
  <c r="A12" i="15"/>
  <c r="A13" i="15"/>
  <c r="B1" i="15" a="1"/>
  <c r="B1" i="15"/>
  <c r="C1" i="15"/>
  <c r="D1" i="15"/>
  <c r="E1" i="15"/>
  <c r="F1" i="15"/>
  <c r="G1" i="15"/>
  <c r="H1" i="15"/>
  <c r="I1" i="15"/>
  <c r="J1" i="15"/>
  <c r="K1" i="15"/>
  <c r="B1" i="14" a="1"/>
  <c r="B1" i="14"/>
  <c r="C1" i="14"/>
  <c r="D1" i="14"/>
  <c r="E1" i="14"/>
  <c r="F1" i="14"/>
  <c r="G1" i="14"/>
  <c r="H1" i="14"/>
  <c r="I1" i="14"/>
  <c r="J1" i="14"/>
  <c r="K1" i="14"/>
  <c r="A2" i="14" a="1"/>
  <c r="A2" i="14"/>
  <c r="A3" i="14"/>
  <c r="A4" i="14"/>
  <c r="A5" i="14"/>
  <c r="A6" i="14"/>
  <c r="A7" i="14"/>
  <c r="A8" i="14"/>
  <c r="A9" i="14"/>
  <c r="A10" i="14"/>
  <c r="A11" i="14"/>
  <c r="A12" i="14"/>
  <c r="A13" i="14"/>
  <c r="P3" i="19"/>
  <c r="Q3" i="19" a="1"/>
  <c r="Q3" i="19"/>
  <c r="J27" i="13"/>
  <c r="O3" i="1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<sst xmlns="http://schemas.openxmlformats.org/spreadsheetml/2006/main" count="1105" uniqueCount="85">
  <si>
    <t>Final Assessment</t>
  </si>
  <si>
    <t>Excel Skills for Business: Advanced</t>
  </si>
  <si>
    <t>Check Sums</t>
  </si>
  <si>
    <t>Week 5: Learning Objectives</t>
  </si>
  <si>
    <t>Week 5: Advanced Lookup Functions</t>
  </si>
  <si>
    <t>AED</t>
  </si>
  <si>
    <t>AUD</t>
  </si>
  <si>
    <t>CAD</t>
  </si>
  <si>
    <t>CHF</t>
  </si>
  <si>
    <t>EUR</t>
  </si>
  <si>
    <t>GBP</t>
  </si>
  <si>
    <t>INR</t>
  </si>
  <si>
    <t>JPY</t>
  </si>
  <si>
    <t>NZD</t>
  </si>
  <si>
    <t>SGD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</si>
  <si>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</si>
  <si>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</si>
  <si>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</si>
  <si>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</si>
  <si>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</si>
  <si>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</si>
  <si>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</si>
  <si>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</si>
  <si>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</si>
  <si>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</si>
  <si>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</si>
  <si>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</si>
  <si>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Lists</t>
  </si>
  <si>
    <t>Month #</t>
  </si>
  <si>
    <t>Month Name</t>
  </si>
  <si>
    <t>#</t>
  </si>
  <si>
    <t>Code</t>
  </si>
  <si>
    <t>Name</t>
  </si>
  <si>
    <t>UAE Dirham</t>
  </si>
  <si>
    <t>Australian Dollar</t>
  </si>
  <si>
    <t>Canadian Dollar</t>
  </si>
  <si>
    <t>Swiss Franc</t>
  </si>
  <si>
    <t>Euro</t>
  </si>
  <si>
    <t>British Pound</t>
  </si>
  <si>
    <t>Indian Rupee</t>
  </si>
  <si>
    <t>Japanese Yen</t>
  </si>
  <si>
    <t>New Zealand Dollar</t>
  </si>
  <si>
    <t>Singapore Dollar</t>
  </si>
  <si>
    <t>Currencies (Base Currency = USD)</t>
  </si>
  <si>
    <t>Month_List</t>
  </si>
  <si>
    <t>Currency_List</t>
  </si>
  <si>
    <t>The following worksheets</t>
  </si>
  <si>
    <t>Calculations</t>
  </si>
  <si>
    <t>All five worksheets have the same layout</t>
  </si>
  <si>
    <t>with headers in cells A2:A13 and B1:K1</t>
  </si>
  <si>
    <t>and exchange rate data in cells B2:K13.</t>
  </si>
  <si>
    <t>Individual Rate Lookup</t>
  </si>
  <si>
    <t>Year</t>
  </si>
  <si>
    <t>Month</t>
  </si>
  <si>
    <t>Currency</t>
  </si>
  <si>
    <t># in list:</t>
  </si>
  <si>
    <t>Address of cell in rates table</t>
  </si>
  <si>
    <t>Exchange rate value - using different methods</t>
  </si>
  <si>
    <t>Method 1 (using ADDRESS)</t>
  </si>
  <si>
    <t>Method 2 (using INDEX)</t>
  </si>
  <si>
    <t>Method 3 (using OFFSET)</t>
  </si>
  <si>
    <t>Table</t>
  </si>
  <si>
    <t>Check Sum</t>
  </si>
  <si>
    <t>The name "Rates_2012" has been given to cells B2:K13 of the worksheet '2012'.</t>
  </si>
  <si>
    <t>The same naming pattern ("Rates_XXXX") has been applied to cells B2:K13 of worksheets '2013', '2014', '2015' and '2016'.</t>
  </si>
  <si>
    <t>Contain the end of month exchange rate (from US Dollars) for each month in the year, for each of the 10 currencies listed.</t>
  </si>
  <si>
    <t>NASDAQ Data - Microsoft</t>
  </si>
  <si>
    <t>Date</t>
  </si>
  <si>
    <t>Helper</t>
  </si>
  <si>
    <t>Volume</t>
  </si>
  <si>
    <t>Price</t>
  </si>
  <si>
    <t>Month Start</t>
  </si>
  <si>
    <t>Month End</t>
  </si>
  <si>
    <t>Helper Start</t>
  </si>
  <si>
    <t>Helper End</t>
  </si>
  <si>
    <t>Sum of Price</t>
  </si>
  <si>
    <t>Average of Price</t>
  </si>
  <si>
    <t>Average of Volume</t>
  </si>
  <si>
    <t>Additional Questions</t>
  </si>
  <si>
    <t>Highest Avg Volume</t>
  </si>
  <si>
    <t>Month it occurs in</t>
  </si>
  <si>
    <t>---</t>
  </si>
  <si>
    <t>20th highest Avg Price</t>
  </si>
  <si>
    <t>Exchange Rate Data</t>
  </si>
  <si>
    <t>Use the following functionalities in Excel for Advanced Lookup Functions:
Explain R1C1 and A1 referencing style
Use INDIRECT and ADDRESS functions
Create lookups using the OFFSET function
Use INDEX for complex lookups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</si>
</sst>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_-;\-&quot;$&quot;* #,##0_-;_-&quot;$&quot;* &quot;-&quot;_-;_-@_-"/>
    <numFmt numFmtId="165" formatCode="_-* #,##0_-;\-* #,##0_-;_-* &quot;-&quot;_-;_-@_-"/>
    <numFmt numFmtId="166" formatCode="d\-mmm\-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BF7FF"/>
        <bgColor indexed="64"/>
      </patternFill>
    </fill>
  </fills>
  <borders count="4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</borders>
  <cellStyleXfs count="44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6" applyNumberFormat="0" applyAlignment="0" applyProtection="0"/>
    <xf numFmtId="0" fontId="13" fillId="2" borderId="6" applyNumberFormat="0" applyAlignment="0" applyProtection="0"/>
    <xf numFmtId="0" fontId="14" fillId="0" borderId="7" applyNumberFormat="0" applyFill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0" fillId="33" borderId="0" xfId="0" applyFill="1" applyAlignment="1">
      <alignment horizontal="left" indent="3"/>
    </xf>
    <xf numFmtId="0" fontId="0" fillId="33" borderId="0" xfId="0" applyFill="1"/>
    <xf numFmtId="0" fontId="0" fillId="33" borderId="13" xfId="0" applyFill="1" applyBorder="1"/>
    <xf numFmtId="0" fontId="21" fillId="33" borderId="0" xfId="0" applyFont="1" applyFill="1" applyAlignment="1">
      <alignment horizontal="left" indent="3"/>
    </xf>
    <xf numFmtId="0" fontId="21" fillId="33" borderId="0" xfId="0" applyFont="1" applyFill="1"/>
    <xf numFmtId="0" fontId="22" fillId="33" borderId="14" xfId="0" applyFont="1" applyFill="1" applyBorder="1" applyAlignment="1">
      <alignment horizontal="left" indent="3"/>
    </xf>
    <xf numFmtId="0" fontId="22" fillId="33" borderId="14" xfId="0" applyFont="1" applyFill="1" applyBorder="1"/>
    <xf numFmtId="0" fontId="0" fillId="33" borderId="0" xfId="0" applyFill="1" applyAlignment="1">
      <alignment vertical="top" wrapText="1"/>
    </xf>
    <xf numFmtId="0" fontId="23" fillId="33" borderId="0" xfId="0" applyFont="1" applyFill="1"/>
    <xf numFmtId="0" fontId="15" fillId="34" borderId="0" xfId="0" applyFont="1" applyFill="1"/>
    <xf numFmtId="0" fontId="3" fillId="0" borderId="0" xfId="0" applyFont="1"/>
    <xf numFmtId="0" fontId="13" fillId="2" borderId="6" xfId="14"/>
    <xf numFmtId="0" fontId="16" fillId="0" borderId="0" xfId="0" applyFont="1"/>
    <xf numFmtId="0" fontId="0" fillId="0" borderId="0" xfId="0" applyAlignment="1">
      <alignment horizontal="right"/>
    </xf>
    <xf numFmtId="0" fontId="0" fillId="35" borderId="22" xfId="0" applyFill="1" applyBorder="1" applyAlignment="1">
      <alignment horizontal="center"/>
    </xf>
    <xf numFmtId="0" fontId="0" fillId="36" borderId="22" xfId="0" applyFill="1" applyBorder="1"/>
    <xf numFmtId="0" fontId="0" fillId="0" borderId="0" xfId="0" applyAlignment="1">
      <alignment wrapText="1"/>
    </xf>
    <xf numFmtId="0" fontId="4" fillId="34" borderId="0" xfId="0" applyFont="1" applyFill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9" xfId="0" applyBorder="1"/>
    <xf numFmtId="0" fontId="3" fillId="0" borderId="23" xfId="0" applyFont="1" applyBorder="1" applyAlignment="1">
      <alignment horizontal="center"/>
    </xf>
    <xf numFmtId="0" fontId="3" fillId="0" borderId="25" xfId="0" applyFont="1" applyBorder="1"/>
    <xf numFmtId="0" fontId="3" fillId="0" borderId="35" xfId="0" applyFont="1" applyBorder="1"/>
    <xf numFmtId="0" fontId="3" fillId="0" borderId="37" xfId="0" applyFont="1" applyBorder="1"/>
    <xf numFmtId="0" fontId="0" fillId="0" borderId="36" xfId="0" applyBorder="1"/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/>
    <xf numFmtId="0" fontId="26" fillId="0" borderId="37" xfId="0" applyFont="1" applyBorder="1"/>
    <xf numFmtId="0" fontId="0" fillId="0" borderId="22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8" xfId="0" applyBorder="1"/>
    <xf numFmtId="0" fontId="0" fillId="0" borderId="39" xfId="0" applyBorder="1"/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15" fillId="34" borderId="34" xfId="0" applyFont="1" applyFill="1" applyBorder="1" applyAlignment="1">
      <alignment horizontal="center"/>
    </xf>
    <xf numFmtId="0" fontId="3" fillId="0" borderId="44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25" fillId="0" borderId="0" xfId="0" applyFont="1"/>
    <xf numFmtId="0" fontId="24" fillId="37" borderId="45" xfId="0" applyFont="1" applyFill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35" borderId="41" xfId="0" applyFill="1" applyBorder="1" applyAlignment="1">
      <alignment horizontal="center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25" xfId="0" applyBorder="1" applyAlignment="1">
      <alignment horizontal="right"/>
    </xf>
    <xf numFmtId="166" fontId="0" fillId="0" borderId="0" xfId="0" applyNumberFormat="1"/>
    <xf numFmtId="0" fontId="3" fillId="0" borderId="18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166" fontId="24" fillId="0" borderId="0" xfId="0" applyNumberFormat="1" applyFont="1"/>
    <xf numFmtId="0" fontId="3" fillId="0" borderId="0" xfId="0" applyFont="1" applyAlignment="1">
      <alignment wrapText="1"/>
    </xf>
    <xf numFmtId="166" fontId="25" fillId="35" borderId="22" xfId="0" applyNumberFormat="1" applyFont="1" applyFill="1" applyBorder="1"/>
    <xf numFmtId="0" fontId="0" fillId="34" borderId="0" xfId="0" applyFill="1"/>
    <xf numFmtId="0" fontId="0" fillId="0" borderId="0" xfId="0" quotePrefix="1" applyAlignment="1">
      <alignment horizontal="center"/>
    </xf>
    <xf numFmtId="166" fontId="25" fillId="35" borderId="42" xfId="0" applyNumberFormat="1" applyFont="1" applyFill="1" applyBorder="1"/>
    <xf numFmtId="0" fontId="16" fillId="36" borderId="22" xfId="0" applyFont="1" applyFill="1" applyBorder="1"/>
    <xf numFmtId="2" fontId="0" fillId="35" borderId="22" xfId="0" applyNumberFormat="1" applyFill="1" applyBorder="1"/>
    <xf numFmtId="3" fontId="0" fillId="35" borderId="22" xfId="0" applyNumberFormat="1" applyFill="1" applyBorder="1"/>
    <xf numFmtId="3" fontId="24" fillId="0" borderId="0" xfId="0" applyNumberFormat="1" applyFont="1"/>
    <xf numFmtId="2" fontId="24" fillId="0" borderId="0" xfId="0" applyNumberFormat="1" applyFont="1"/>
    <xf numFmtId="3" fontId="0" fillId="35" borderId="22" xfId="0" applyNumberFormat="1" applyFill="1" applyBorder="1" applyAlignment="1">
      <alignment horizontal="center"/>
    </xf>
    <xf numFmtId="2" fontId="0" fillId="35" borderId="22" xfId="0" applyNumberFormat="1" applyFill="1" applyBorder="1" applyAlignment="1">
      <alignment horizontal="center"/>
    </xf>
    <xf numFmtId="1" fontId="25" fillId="35" borderId="22" xfId="0" applyNumberFormat="1" applyFont="1" applyFill="1" applyBorder="1"/>
    <xf numFmtId="0" fontId="18" fillId="33" borderId="13" xfId="0" applyFont="1" applyFill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2" fontId="0" fillId="0" borderId="0" xfId="0" applyNumberFormat="1"/>
    <xf numFmtId="3" fontId="0" fillId="0" borderId="0" xfId="0" applyNumberFormat="1"/>
  </cellXfs>
  <cellStyles count="44">
    <cellStyle name="20% - Accent1" xfId="20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1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2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3" builtinId="29" customBuiltin="1"/>
    <cellStyle name="Accent2" xfId="4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11" builtinId="27" customBuiltin="1"/>
    <cellStyle name="Calculation" xfId="14" builtinId="22" customBuiltin="1"/>
    <cellStyle name="Check Cell" xfId="16" builtinId="23" customBuiltin="1"/>
    <cellStyle name="Comma [0]" xfId="42" builtinId="6" hidden="1"/>
    <cellStyle name="Currency [0]" xfId="43" builtinId="7" hidden="1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5" builtinId="24" customBuiltin="1"/>
    <cellStyle name="Neutral" xfId="12" builtinId="28" customBuiltin="1"/>
    <cellStyle name="Normal" xfId="0" builtinId="0"/>
    <cellStyle name="Note" xfId="18" builtinId="10" customBuiltin="1"/>
    <cellStyle name="Output" xfId="1" builtinId="21" customBuiltin="1"/>
    <cellStyle name="Title" xfId="5" builtinId="15" customBuiltin="1"/>
    <cellStyle name="Total" xfId="2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CFFCC"/>
      <color rgb="FFFFFFCC"/>
      <color rgb="FF0000FF"/>
      <color rgb="FFEBF7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36095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5EACEB9-260D-4695-A56C-A729E5A70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1935" cy="1649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"/>
  <sheetViews>
    <sheetView workbookViewId="0">
      <selection activeCell="I6" sqref="I6:O6"/>
    </sheetView>
  </sheetViews>
  <sheetFormatPr baseColWidth="10" defaultColWidth="9.83203125" defaultRowHeight="15" x14ac:dyDescent="0.2"/>
  <cols>
    <col min="1" max="1" width="9.83203125" style="1"/>
    <col min="2" max="2" width="12" style="2" customWidth="1"/>
    <col min="3" max="3" width="15.83203125" style="2" customWidth="1"/>
    <col min="4" max="4" width="12.6640625" style="2" customWidth="1"/>
    <col min="5" max="6" width="9.83203125" style="2"/>
    <col min="7" max="7" width="11" style="2" customWidth="1"/>
    <col min="8" max="8" width="19.1640625" style="2" customWidth="1"/>
    <col min="9" max="9" width="3.6640625" style="2" customWidth="1"/>
    <col min="10" max="10" width="3.83203125" style="2" customWidth="1"/>
    <col min="11" max="12" width="12.33203125" style="2" customWidth="1"/>
    <col min="13" max="13" width="47.5" style="2" customWidth="1"/>
    <col min="14" max="14" width="4.5" style="2" customWidth="1"/>
    <col min="15" max="15" width="4" style="2" customWidth="1"/>
    <col min="16" max="16" width="12.33203125" style="2" customWidth="1"/>
    <col min="17" max="16384" width="9.83203125" style="2"/>
  </cols>
  <sheetData>
    <row r="1" spans="1:16" x14ac:dyDescent="0.2">
      <c r="H1" s="3"/>
    </row>
    <row r="2" spans="1:16" ht="35" x14ac:dyDescent="0.35">
      <c r="H2" s="76" t="s">
        <v>1</v>
      </c>
      <c r="I2" s="77"/>
      <c r="J2" s="77"/>
      <c r="K2" s="77"/>
      <c r="L2" s="77"/>
      <c r="M2" s="77"/>
      <c r="N2" s="77"/>
      <c r="O2" s="77"/>
      <c r="P2" s="77"/>
    </row>
    <row r="3" spans="1:16" x14ac:dyDescent="0.2">
      <c r="H3" s="3"/>
    </row>
    <row r="4" spans="1:16" ht="30" x14ac:dyDescent="0.3">
      <c r="H4" s="78" t="s">
        <v>4</v>
      </c>
      <c r="I4" s="79"/>
      <c r="J4" s="79"/>
      <c r="K4" s="79"/>
      <c r="L4" s="79"/>
      <c r="M4" s="79"/>
      <c r="N4" s="79"/>
      <c r="O4" s="79"/>
      <c r="P4" s="79"/>
    </row>
    <row r="5" spans="1:16" ht="16" thickBot="1" x14ac:dyDescent="0.25">
      <c r="H5" s="3"/>
    </row>
    <row r="6" spans="1:16" ht="32" thickBot="1" x14ac:dyDescent="0.4">
      <c r="H6" s="3"/>
      <c r="I6" s="80" t="s">
        <v>0</v>
      </c>
      <c r="J6" s="81"/>
      <c r="K6" s="81"/>
      <c r="L6" s="81"/>
      <c r="M6" s="81"/>
      <c r="N6" s="81"/>
      <c r="O6" s="82"/>
    </row>
    <row r="10" spans="1:16" ht="19" thickBot="1" x14ac:dyDescent="0.25">
      <c r="A10" s="4" t="s">
        <v>3</v>
      </c>
      <c r="B10" s="5"/>
      <c r="C10" s="5"/>
      <c r="D10" s="5"/>
      <c r="E10" s="5"/>
      <c r="F10" s="5"/>
      <c r="G10" s="5"/>
    </row>
    <row r="11" spans="1:16" ht="19" thickTop="1" x14ac:dyDescent="0.2">
      <c r="A11" s="6"/>
      <c r="B11" s="7"/>
      <c r="C11" s="7"/>
      <c r="D11" s="7"/>
      <c r="E11" s="7"/>
      <c r="F11" s="7"/>
      <c r="G11" s="7"/>
      <c r="H11" s="7"/>
    </row>
    <row r="12" spans="1:16" ht="89.5" customHeight="1" x14ac:dyDescent="0.2">
      <c r="B12" s="83" t="s">
        <v>84</v>
      </c>
      <c r="C12" s="83"/>
      <c r="D12" s="83"/>
      <c r="E12" s="83"/>
      <c r="F12" s="83"/>
      <c r="G12" s="83"/>
      <c r="H12" s="83"/>
      <c r="I12" s="8"/>
      <c r="J12" s="8"/>
      <c r="K12" s="8"/>
      <c r="L12" s="8"/>
      <c r="M12" s="8"/>
      <c r="N12" s="8"/>
      <c r="O12" s="8"/>
    </row>
    <row r="13" spans="1:16" ht="9" customHeight="1" x14ac:dyDescent="0.2"/>
    <row r="14" spans="1:16" ht="5.5" customHeight="1" x14ac:dyDescent="0.2"/>
    <row r="15" spans="1:16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6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</sheetData>
  <mergeCells count="4">
    <mergeCell ref="H2:P2"/>
    <mergeCell ref="H4:P4"/>
    <mergeCell ref="I6:O6"/>
    <mergeCell ref="B12:H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A2:Q57"/>
  <sheetViews>
    <sheetView showGridLines="0" tabSelected="1" topLeftCell="E5" zoomScale="161" workbookViewId="0">
      <selection activeCell="J20" sqref="J20"/>
    </sheetView>
  </sheetViews>
  <sheetFormatPr baseColWidth="10" defaultColWidth="8.83203125" defaultRowHeight="15" x14ac:dyDescent="0.2"/>
  <cols>
    <col min="1" max="1" width="3" customWidth="1"/>
    <col min="4" max="4" width="21" customWidth="1"/>
    <col min="7" max="8" width="2.6640625" customWidth="1"/>
    <col min="9" max="9" width="12.6640625" customWidth="1"/>
    <col min="10" max="10" width="13.33203125" customWidth="1"/>
    <col min="11" max="17" width="12.6640625" customWidth="1"/>
  </cols>
  <sheetData>
    <row r="2" spans="1:17" x14ac:dyDescent="0.2">
      <c r="A2" s="18"/>
      <c r="B2" s="10" t="s">
        <v>27</v>
      </c>
      <c r="C2" s="10"/>
      <c r="D2" s="18"/>
      <c r="E2" s="18"/>
      <c r="F2" s="18"/>
      <c r="I2" s="10" t="s">
        <v>47</v>
      </c>
      <c r="J2" s="10"/>
      <c r="K2" s="10"/>
      <c r="L2" s="18"/>
      <c r="M2" s="18"/>
      <c r="N2" s="18"/>
      <c r="O2" s="18"/>
      <c r="P2" s="18"/>
      <c r="Q2" s="18"/>
    </row>
    <row r="4" spans="1:17" x14ac:dyDescent="0.2">
      <c r="C4" s="23" t="s">
        <v>28</v>
      </c>
      <c r="D4" s="24" t="s">
        <v>29</v>
      </c>
      <c r="I4" s="11" t="s">
        <v>51</v>
      </c>
    </row>
    <row r="5" spans="1:17" x14ac:dyDescent="0.2">
      <c r="C5" s="19">
        <v>1</v>
      </c>
      <c r="D5" s="20" t="s">
        <v>15</v>
      </c>
      <c r="I5" t="s">
        <v>52</v>
      </c>
      <c r="J5" s="51">
        <v>2015</v>
      </c>
    </row>
    <row r="6" spans="1:17" x14ac:dyDescent="0.2">
      <c r="C6" s="19">
        <v>2</v>
      </c>
      <c r="D6" s="20" t="s">
        <v>16</v>
      </c>
    </row>
    <row r="7" spans="1:17" x14ac:dyDescent="0.2">
      <c r="C7" s="19">
        <v>3</v>
      </c>
      <c r="D7" s="20" t="s">
        <v>17</v>
      </c>
      <c r="I7" t="s">
        <v>53</v>
      </c>
      <c r="J7" s="51" t="s">
        <v>17</v>
      </c>
      <c r="K7" s="14" t="s">
        <v>55</v>
      </c>
      <c r="L7" s="15">
        <f>MATCH(J7, Month_List,0)</f>
        <v>3</v>
      </c>
    </row>
    <row r="8" spans="1:17" x14ac:dyDescent="0.2">
      <c r="C8" s="19">
        <v>4</v>
      </c>
      <c r="D8" s="20" t="s">
        <v>18</v>
      </c>
    </row>
    <row r="9" spans="1:17" x14ac:dyDescent="0.2">
      <c r="C9" s="19">
        <v>5</v>
      </c>
      <c r="D9" s="20" t="s">
        <v>19</v>
      </c>
      <c r="I9" t="s">
        <v>54</v>
      </c>
      <c r="J9" s="51" t="s">
        <v>7</v>
      </c>
      <c r="K9" s="14" t="s">
        <v>55</v>
      </c>
      <c r="L9" s="15">
        <f>MATCH(J9, Currency_List, 0)</f>
        <v>3</v>
      </c>
    </row>
    <row r="10" spans="1:17" x14ac:dyDescent="0.2">
      <c r="C10" s="19">
        <v>6</v>
      </c>
      <c r="D10" s="20" t="s">
        <v>20</v>
      </c>
    </row>
    <row r="11" spans="1:17" x14ac:dyDescent="0.2">
      <c r="C11" s="19">
        <v>7</v>
      </c>
      <c r="D11" s="20" t="s">
        <v>21</v>
      </c>
      <c r="I11" t="s">
        <v>56</v>
      </c>
      <c r="L11" s="15" t="str">
        <f>ADDRESS(L7+1, L9+1)</f>
        <v>$D$4</v>
      </c>
    </row>
    <row r="12" spans="1:17" x14ac:dyDescent="0.2">
      <c r="C12" s="19">
        <v>8</v>
      </c>
      <c r="D12" s="20" t="s">
        <v>22</v>
      </c>
    </row>
    <row r="13" spans="1:17" x14ac:dyDescent="0.2">
      <c r="C13" s="19">
        <v>9</v>
      </c>
      <c r="D13" s="20" t="s">
        <v>23</v>
      </c>
      <c r="I13" t="s">
        <v>57</v>
      </c>
    </row>
    <row r="14" spans="1:17" x14ac:dyDescent="0.2">
      <c r="C14" s="19">
        <v>10</v>
      </c>
      <c r="D14" s="20" t="s">
        <v>24</v>
      </c>
      <c r="J14" s="15" cm="1">
        <f t="array" aca="1" ref="J14" ca="1">INDIRECT(J5 &amp; "!" &amp; L11)</f>
        <v>1.2614939999999999</v>
      </c>
      <c r="K14" t="s">
        <v>58</v>
      </c>
    </row>
    <row r="15" spans="1:17" x14ac:dyDescent="0.2">
      <c r="C15" s="19">
        <v>11</v>
      </c>
      <c r="D15" s="20" t="s">
        <v>25</v>
      </c>
      <c r="J15" s="15" cm="1">
        <f t="array" aca="1" ref="J15" ca="1">INDEX(INDIRECT("Rates_"&amp;J5), L7, L9)</f>
        <v>1.2614939999999999</v>
      </c>
      <c r="K15" t="s">
        <v>59</v>
      </c>
    </row>
    <row r="16" spans="1:17" x14ac:dyDescent="0.2">
      <c r="C16" s="21">
        <v>12</v>
      </c>
      <c r="D16" s="22" t="s">
        <v>26</v>
      </c>
      <c r="J16" s="15" cm="1">
        <f t="array" aca="1" ref="J16" ca="1">OFFSET(INDIRECT(J5 &amp; "!A1"), L7, L9)</f>
        <v>1.2614939999999999</v>
      </c>
      <c r="K16" t="s">
        <v>60</v>
      </c>
    </row>
    <row r="17" spans="2:13" x14ac:dyDescent="0.2">
      <c r="D17" s="33" t="s">
        <v>44</v>
      </c>
      <c r="I17" t="s">
        <v>62</v>
      </c>
      <c r="J17" s="12">
        <f ca="1">Check2</f>
        <v>36757</v>
      </c>
    </row>
    <row r="19" spans="2:13" x14ac:dyDescent="0.2">
      <c r="B19" s="25" t="s">
        <v>43</v>
      </c>
      <c r="C19" s="26"/>
      <c r="D19" s="27"/>
      <c r="I19" s="11" t="s">
        <v>61</v>
      </c>
    </row>
    <row r="20" spans="2:13" x14ac:dyDescent="0.2">
      <c r="B20" s="30" t="s">
        <v>31</v>
      </c>
      <c r="C20" s="31" t="s">
        <v>30</v>
      </c>
      <c r="D20" s="32" t="s">
        <v>32</v>
      </c>
      <c r="I20" t="s">
        <v>54</v>
      </c>
      <c r="J20" s="51" t="s">
        <v>10</v>
      </c>
      <c r="K20" s="14" t="s">
        <v>55</v>
      </c>
      <c r="L20" s="15">
        <f>MATCH(J20, Currency_List, 0)</f>
        <v>6</v>
      </c>
    </row>
    <row r="21" spans="2:13" x14ac:dyDescent="0.2">
      <c r="B21" s="19" t="s">
        <v>5</v>
      </c>
      <c r="C21" s="28">
        <v>1</v>
      </c>
      <c r="D21" s="20" t="s">
        <v>33</v>
      </c>
    </row>
    <row r="22" spans="2:13" x14ac:dyDescent="0.2">
      <c r="B22" s="19" t="s">
        <v>6</v>
      </c>
      <c r="C22" s="28">
        <v>2</v>
      </c>
      <c r="D22" s="20" t="s">
        <v>34</v>
      </c>
      <c r="I22" s="52"/>
      <c r="J22" s="56" t="str">
        <f>INDEX(Month_List,Digit)</f>
        <v>July</v>
      </c>
      <c r="K22" s="57" t="str">
        <f>INDEX(Month_List,1+MOD(CODE(J22),10))</f>
        <v>May</v>
      </c>
      <c r="L22" s="57" t="str">
        <f>INDEX(Month_List,1+MOD(CODE(K22),10))</f>
        <v>August</v>
      </c>
      <c r="M22" s="58" t="str">
        <f>INDEX(Month_List,1+MOD(CODE(L22),10))</f>
        <v>June</v>
      </c>
    </row>
    <row r="23" spans="2:13" x14ac:dyDescent="0.2">
      <c r="B23" s="19" t="s">
        <v>7</v>
      </c>
      <c r="C23" s="28">
        <v>3</v>
      </c>
      <c r="D23" s="20" t="s">
        <v>35</v>
      </c>
      <c r="I23" s="52">
        <f>INDEX(Year_List,1+MOD(L20,5))</f>
        <v>2013</v>
      </c>
      <c r="J23" s="55" cm="1">
        <f t="array" aca="1" ref="J23" ca="1">INDEX(INDIRECT("Rates_"&amp;$I23),MATCH(J22,Month_List,0),$L$20)</f>
        <v>0.65909499999999999</v>
      </c>
      <c r="K23" s="55" cm="1">
        <f t="array" aca="1" ref="K23" ca="1">INDEX(INDIRECT("Rates_"&amp;$I23),MATCH(K22,Month_List,0),$L$20)</f>
        <v>0.65337500000000004</v>
      </c>
      <c r="L23" s="55" cm="1">
        <f t="array" aca="1" ref="L23" ca="1">INDEX(INDIRECT("Rates_"&amp;$I23),MATCH(L22,Month_List,0),$L$20)</f>
        <v>0.64544000000000001</v>
      </c>
      <c r="M23" s="55" cm="1">
        <f t="array" aca="1" ref="M23" ca="1">INDEX(INDIRECT("Rates_"&amp;$I23),MATCH(M22,Month_List,0),$L$20)</f>
        <v>0.646455</v>
      </c>
    </row>
    <row r="24" spans="2:13" x14ac:dyDescent="0.2">
      <c r="B24" s="19" t="s">
        <v>8</v>
      </c>
      <c r="C24" s="28">
        <v>4</v>
      </c>
      <c r="D24" s="20" t="s">
        <v>36</v>
      </c>
      <c r="I24" s="53">
        <f>2012+MOD(I23-2011+1,5)</f>
        <v>2015</v>
      </c>
      <c r="J24" s="55" cm="1">
        <f t="array" aca="1" ref="J24" ca="1">INDEX(INDIRECT("Rates_"&amp;$I24),MATCH(J$22,Month_List,0),$L$20)</f>
        <v>0.64280300000000001</v>
      </c>
      <c r="K24" s="55" cm="1">
        <f t="array" aca="1" ref="K24" ca="1">INDEX(INDIRECT("Rates_"&amp;$I24),MATCH(K$22,Month_List,0),$L$20)</f>
        <v>0.64698199999999995</v>
      </c>
      <c r="L24" s="55" cm="1">
        <f t="array" aca="1" ref="L24" ca="1">INDEX(INDIRECT("Rates_"&amp;$I24),MATCH(L$22,Month_List,0),$L$20)</f>
        <v>0.64160899999999998</v>
      </c>
      <c r="M24" s="55" cm="1">
        <f t="array" aca="1" ref="M24" ca="1">INDEX(INDIRECT("Rates_"&amp;$I24),MATCH(M$22,Month_List,0),$L$20)</f>
        <v>0.64227699999999999</v>
      </c>
    </row>
    <row r="25" spans="2:13" x14ac:dyDescent="0.2">
      <c r="B25" s="19" t="s">
        <v>9</v>
      </c>
      <c r="C25" s="28">
        <v>5</v>
      </c>
      <c r="D25" s="20" t="s">
        <v>37</v>
      </c>
      <c r="I25" s="54">
        <f>2012+MOD(I24-2011+3,5)</f>
        <v>2014</v>
      </c>
      <c r="J25" s="55" cm="1">
        <f t="array" aca="1" ref="J25" ca="1">INDEX(INDIRECT("Rates_" &amp; $I25), MATCH(J22, Month_List, 0),$L$20 )</f>
        <v>0.58540099999999995</v>
      </c>
      <c r="K25" s="55">
        <f ca="1">INDEX(INDIRECT("Rates_" &amp; $I25), MATCH(K22, Month_List, 0),MATCH($J$20, Currency_List, 0) )</f>
        <v>0.59377800000000003</v>
      </c>
      <c r="L25" s="55">
        <f ca="1">INDEX(INDIRECT("Rates_" &amp; $I25), MATCH(L22, Month_List, 0),MATCH($J$20, Currency_List, 0) )</f>
        <v>0.59840599999999999</v>
      </c>
      <c r="M25" s="55">
        <f ca="1">INDEX(INDIRECT("Rates_" &amp; $I25), MATCH(M22, Month_List, 0),MATCH($J$20, Currency_List, 0) )</f>
        <v>0.59167199999999998</v>
      </c>
    </row>
    <row r="26" spans="2:13" x14ac:dyDescent="0.2">
      <c r="B26" s="19" t="s">
        <v>10</v>
      </c>
      <c r="C26" s="28">
        <v>6</v>
      </c>
      <c r="D26" s="20" t="s">
        <v>38</v>
      </c>
    </row>
    <row r="27" spans="2:13" x14ac:dyDescent="0.2">
      <c r="B27" s="19" t="s">
        <v>11</v>
      </c>
      <c r="C27" s="28">
        <v>7</v>
      </c>
      <c r="D27" s="20" t="s">
        <v>39</v>
      </c>
      <c r="I27" t="s">
        <v>62</v>
      </c>
      <c r="J27" s="12">
        <f ca="1">Check1</f>
        <v>3578</v>
      </c>
    </row>
    <row r="28" spans="2:13" x14ac:dyDescent="0.2">
      <c r="B28" s="19" t="s">
        <v>12</v>
      </c>
      <c r="C28" s="28">
        <v>8</v>
      </c>
      <c r="D28" s="20" t="s">
        <v>40</v>
      </c>
    </row>
    <row r="29" spans="2:13" x14ac:dyDescent="0.2">
      <c r="B29" s="19" t="s">
        <v>13</v>
      </c>
      <c r="C29" s="28">
        <v>9</v>
      </c>
      <c r="D29" s="20" t="s">
        <v>41</v>
      </c>
    </row>
    <row r="30" spans="2:13" x14ac:dyDescent="0.2">
      <c r="B30" s="21" t="s">
        <v>14</v>
      </c>
      <c r="C30" s="29">
        <v>10</v>
      </c>
      <c r="D30" s="22" t="s">
        <v>42</v>
      </c>
    </row>
    <row r="31" spans="2:13" x14ac:dyDescent="0.2">
      <c r="B31" s="33" t="s">
        <v>45</v>
      </c>
    </row>
    <row r="33" spans="1:13" x14ac:dyDescent="0.2">
      <c r="A33" s="18"/>
      <c r="B33" s="10" t="s">
        <v>83</v>
      </c>
      <c r="C33" s="10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5" spans="1:13" x14ac:dyDescent="0.2">
      <c r="B35" t="s">
        <v>46</v>
      </c>
    </row>
    <row r="36" spans="1:13" x14ac:dyDescent="0.2">
      <c r="B36">
        <v>2012</v>
      </c>
    </row>
    <row r="37" spans="1:13" x14ac:dyDescent="0.2">
      <c r="B37">
        <v>2013</v>
      </c>
    </row>
    <row r="38" spans="1:13" x14ac:dyDescent="0.2">
      <c r="B38">
        <v>2014</v>
      </c>
    </row>
    <row r="39" spans="1:13" x14ac:dyDescent="0.2">
      <c r="B39">
        <v>2015</v>
      </c>
    </row>
    <row r="40" spans="1:13" x14ac:dyDescent="0.2">
      <c r="B40">
        <v>2016</v>
      </c>
    </row>
    <row r="41" spans="1:13" x14ac:dyDescent="0.2">
      <c r="B41" t="s">
        <v>65</v>
      </c>
    </row>
    <row r="44" spans="1:13" x14ac:dyDescent="0.2">
      <c r="B44" t="s">
        <v>48</v>
      </c>
    </row>
    <row r="45" spans="1:13" x14ac:dyDescent="0.2">
      <c r="B45" t="s">
        <v>49</v>
      </c>
    </row>
    <row r="46" spans="1:13" x14ac:dyDescent="0.2">
      <c r="B46" t="s">
        <v>50</v>
      </c>
    </row>
    <row r="48" spans="1:13" x14ac:dyDescent="0.2">
      <c r="B48" t="s">
        <v>63</v>
      </c>
    </row>
    <row r="49" spans="1:13" x14ac:dyDescent="0.2">
      <c r="B49" t="s">
        <v>64</v>
      </c>
    </row>
    <row r="51" spans="1:13" x14ac:dyDescent="0.2">
      <c r="A51" s="18"/>
      <c r="B51" s="10"/>
      <c r="C51" s="10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3" spans="1:13" x14ac:dyDescent="0.2">
      <c r="E53" s="50"/>
    </row>
    <row r="57" spans="1:13" x14ac:dyDescent="0.2">
      <c r="E57" s="13"/>
    </row>
  </sheetData>
  <dataValidations count="3">
    <dataValidation type="list" allowBlank="1" showInputMessage="1" showErrorMessage="1" sqref="J7" xr:uid="{00000000-0002-0000-0100-000000000000}">
      <formula1>Month_List</formula1>
    </dataValidation>
    <dataValidation type="list" allowBlank="1" showInputMessage="1" showErrorMessage="1" sqref="J9 J20" xr:uid="{00000000-0002-0000-0100-000001000000}">
      <formula1>Currency_List</formula1>
    </dataValidation>
    <dataValidation type="list" allowBlank="1" showInputMessage="1" showErrorMessage="1" sqref="J5" xr:uid="{00000000-0002-0000-0100-000002000000}">
      <formula1>Year_List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K13"/>
  <sheetViews>
    <sheetView showGridLines="0" workbookViewId="0"/>
  </sheetViews>
  <sheetFormatPr baseColWidth="10" defaultColWidth="9.1640625" defaultRowHeight="15" x14ac:dyDescent="0.2"/>
  <cols>
    <col min="1" max="11" width="12.6640625" customWidth="1"/>
  </cols>
  <sheetData>
    <row r="1" spans="1:11" x14ac:dyDescent="0.2">
      <c r="A1" s="46">
        <v>2012</v>
      </c>
      <c r="B1" s="47" t="str">
        <f t="array" ref="B1:K1">TRANSPOSE(Currency_List)</f>
        <v>AED</v>
      </c>
      <c r="C1" s="48" t="str">
        <v>AUD</v>
      </c>
      <c r="D1" s="48" t="str">
        <v>CAD</v>
      </c>
      <c r="E1" s="48" t="str">
        <v>CHF</v>
      </c>
      <c r="F1" s="48" t="str">
        <v>EUR</v>
      </c>
      <c r="G1" s="48" t="str">
        <v>GBP</v>
      </c>
      <c r="H1" s="48" t="str">
        <v>INR</v>
      </c>
      <c r="I1" s="48" t="str">
        <v>JPY</v>
      </c>
      <c r="J1" s="48" t="str">
        <v>NZD</v>
      </c>
      <c r="K1" s="49" t="str">
        <v>SGD</v>
      </c>
    </row>
    <row r="2" spans="1:11" x14ac:dyDescent="0.2">
      <c r="A2" s="42" t="str">
        <f t="array" ref="A2:A13">Month_List</f>
        <v>January</v>
      </c>
      <c r="B2" s="43">
        <v>3.6730230000000001</v>
      </c>
      <c r="C2" s="44">
        <v>0.96301099999999995</v>
      </c>
      <c r="D2" s="44">
        <v>1.016364</v>
      </c>
      <c r="E2" s="44">
        <v>0.93831600000000004</v>
      </c>
      <c r="F2" s="44">
        <v>0.77573499999999995</v>
      </c>
      <c r="G2" s="44">
        <v>0.64505800000000002</v>
      </c>
      <c r="H2" s="44">
        <v>51.234633000000002</v>
      </c>
      <c r="I2" s="44">
        <v>76.965034000000003</v>
      </c>
      <c r="J2" s="44">
        <v>1.2563709999999999</v>
      </c>
      <c r="K2" s="45">
        <v>1.280826</v>
      </c>
    </row>
    <row r="3" spans="1:11" x14ac:dyDescent="0.2">
      <c r="A3" s="40" t="str">
        <v>February</v>
      </c>
      <c r="B3" s="38">
        <v>3.6730070000000001</v>
      </c>
      <c r="C3" s="34">
        <v>0.93277299999999996</v>
      </c>
      <c r="D3" s="34">
        <v>0.99775700000000001</v>
      </c>
      <c r="E3" s="34">
        <v>0.91286299999999998</v>
      </c>
      <c r="F3" s="34">
        <v>0.75618200000000002</v>
      </c>
      <c r="G3" s="34">
        <v>0.63299499999999997</v>
      </c>
      <c r="H3" s="34">
        <v>49.151345999999997</v>
      </c>
      <c r="I3" s="34">
        <v>78.424385000000001</v>
      </c>
      <c r="J3" s="34">
        <v>1.199219</v>
      </c>
      <c r="K3" s="35">
        <v>1.2541119999999999</v>
      </c>
    </row>
    <row r="4" spans="1:11" x14ac:dyDescent="0.2">
      <c r="A4" s="40" t="str">
        <v>March</v>
      </c>
      <c r="B4" s="38">
        <v>3.673</v>
      </c>
      <c r="C4" s="34">
        <v>0.94779400000000003</v>
      </c>
      <c r="D4" s="34">
        <v>0.99316199999999999</v>
      </c>
      <c r="E4" s="34">
        <v>0.91280600000000001</v>
      </c>
      <c r="F4" s="34">
        <v>0.75692899999999996</v>
      </c>
      <c r="G4" s="34">
        <v>0.63192300000000001</v>
      </c>
      <c r="H4" s="34">
        <v>50.207433000000002</v>
      </c>
      <c r="I4" s="34">
        <v>82.449128999999999</v>
      </c>
      <c r="J4" s="34">
        <v>1.2173350000000001</v>
      </c>
      <c r="K4" s="35">
        <v>1.2578510000000001</v>
      </c>
    </row>
    <row r="5" spans="1:11" x14ac:dyDescent="0.2">
      <c r="A5" s="40" t="str">
        <v>April</v>
      </c>
      <c r="B5" s="38">
        <v>3.6730070000000001</v>
      </c>
      <c r="C5" s="34">
        <v>0.965445</v>
      </c>
      <c r="D5" s="34">
        <v>0.99427600000000005</v>
      </c>
      <c r="E5" s="34">
        <v>0.91247999999999996</v>
      </c>
      <c r="F5" s="34">
        <v>0.75919800000000004</v>
      </c>
      <c r="G5" s="34">
        <v>0.62541000000000002</v>
      </c>
      <c r="H5" s="34">
        <v>51.5655</v>
      </c>
      <c r="I5" s="34">
        <v>81.371814999999998</v>
      </c>
      <c r="J5" s="34">
        <v>1.220817</v>
      </c>
      <c r="K5" s="35">
        <v>1.251431</v>
      </c>
    </row>
    <row r="6" spans="1:11" x14ac:dyDescent="0.2">
      <c r="A6" s="40" t="str">
        <v>May</v>
      </c>
      <c r="B6" s="38">
        <v>3.6730320000000001</v>
      </c>
      <c r="C6" s="34">
        <v>1.001379</v>
      </c>
      <c r="D6" s="34">
        <v>1.0093970000000001</v>
      </c>
      <c r="E6" s="34">
        <v>0.93686499999999995</v>
      </c>
      <c r="F6" s="34">
        <v>0.77981500000000004</v>
      </c>
      <c r="G6" s="34">
        <v>0.62747600000000003</v>
      </c>
      <c r="H6" s="34">
        <v>54.350864000000001</v>
      </c>
      <c r="I6" s="34">
        <v>79.729516000000004</v>
      </c>
      <c r="J6" s="34">
        <v>1.29104</v>
      </c>
      <c r="K6" s="35">
        <v>1.2614650000000001</v>
      </c>
    </row>
    <row r="7" spans="1:11" x14ac:dyDescent="0.2">
      <c r="A7" s="40" t="str">
        <v>June</v>
      </c>
      <c r="B7" s="38">
        <v>3.6730299999999998</v>
      </c>
      <c r="C7" s="34">
        <v>1.003701</v>
      </c>
      <c r="D7" s="34">
        <v>1.0278389999999999</v>
      </c>
      <c r="E7" s="34">
        <v>0.95786300000000002</v>
      </c>
      <c r="F7" s="34">
        <v>0.79756899999999997</v>
      </c>
      <c r="G7" s="34">
        <v>0.64300599999999997</v>
      </c>
      <c r="H7" s="34">
        <v>55.977269</v>
      </c>
      <c r="I7" s="34">
        <v>79.246309999999994</v>
      </c>
      <c r="J7" s="34">
        <v>1.2863789999999999</v>
      </c>
      <c r="K7" s="35">
        <v>1.279366</v>
      </c>
    </row>
    <row r="8" spans="1:11" x14ac:dyDescent="0.2">
      <c r="A8" s="40" t="str">
        <v>July</v>
      </c>
      <c r="B8" s="38">
        <v>3.6730290000000001</v>
      </c>
      <c r="C8" s="34">
        <v>0.97109999999999996</v>
      </c>
      <c r="D8" s="34">
        <v>1.014016</v>
      </c>
      <c r="E8" s="34">
        <v>0.97613700000000003</v>
      </c>
      <c r="F8" s="34">
        <v>0.81280799999999997</v>
      </c>
      <c r="G8" s="34">
        <v>0.64089700000000005</v>
      </c>
      <c r="H8" s="34">
        <v>55.352806000000001</v>
      </c>
      <c r="I8" s="34">
        <v>79.081444000000005</v>
      </c>
      <c r="J8" s="34">
        <v>1.2508379999999999</v>
      </c>
      <c r="K8" s="35">
        <v>1.261236</v>
      </c>
    </row>
    <row r="9" spans="1:11" x14ac:dyDescent="0.2">
      <c r="A9" s="40" t="str">
        <v>August</v>
      </c>
      <c r="B9" s="38">
        <v>3.6730480000000001</v>
      </c>
      <c r="C9" s="34">
        <v>0.95411599999999996</v>
      </c>
      <c r="D9" s="34">
        <v>0.99343999999999999</v>
      </c>
      <c r="E9" s="34">
        <v>0.96946299999999996</v>
      </c>
      <c r="F9" s="34">
        <v>0.80714300000000005</v>
      </c>
      <c r="G9" s="34">
        <v>0.636517</v>
      </c>
      <c r="H9" s="34">
        <v>55.513323</v>
      </c>
      <c r="I9" s="34">
        <v>78.700033000000005</v>
      </c>
      <c r="J9" s="34">
        <v>1.2335929999999999</v>
      </c>
      <c r="K9" s="35">
        <v>1.247981</v>
      </c>
    </row>
    <row r="10" spans="1:11" x14ac:dyDescent="0.2">
      <c r="A10" s="40" t="str">
        <v>September</v>
      </c>
      <c r="B10" s="38">
        <v>3.6730299999999998</v>
      </c>
      <c r="C10" s="34">
        <v>0.961206</v>
      </c>
      <c r="D10" s="34">
        <v>0.97902199999999995</v>
      </c>
      <c r="E10" s="34">
        <v>0.94017899999999999</v>
      </c>
      <c r="F10" s="34">
        <v>0.77757299999999996</v>
      </c>
      <c r="G10" s="34">
        <v>0.62119199999999997</v>
      </c>
      <c r="H10" s="34">
        <v>54.489466999999998</v>
      </c>
      <c r="I10" s="34">
        <v>78.194783000000001</v>
      </c>
      <c r="J10" s="34">
        <v>1.2229049999999999</v>
      </c>
      <c r="K10" s="35">
        <v>1.2317119999999999</v>
      </c>
    </row>
    <row r="11" spans="1:11" x14ac:dyDescent="0.2">
      <c r="A11" s="40" t="str">
        <v>October</v>
      </c>
      <c r="B11" s="38">
        <v>3.673003</v>
      </c>
      <c r="C11" s="34">
        <v>0.97176899999999999</v>
      </c>
      <c r="D11" s="34">
        <v>0.986016</v>
      </c>
      <c r="E11" s="34">
        <v>0.93248500000000001</v>
      </c>
      <c r="F11" s="34">
        <v>0.77079699999999995</v>
      </c>
      <c r="G11" s="34">
        <v>0.62196600000000002</v>
      </c>
      <c r="H11" s="34">
        <v>53.032710000000002</v>
      </c>
      <c r="I11" s="34">
        <v>78.907846000000006</v>
      </c>
      <c r="J11" s="34">
        <v>1.2201900000000001</v>
      </c>
      <c r="K11" s="35">
        <v>1.2241660000000001</v>
      </c>
    </row>
    <row r="12" spans="1:11" x14ac:dyDescent="0.2">
      <c r="A12" s="40" t="str">
        <v>November</v>
      </c>
      <c r="B12" s="38">
        <v>3.6730170000000002</v>
      </c>
      <c r="C12" s="34">
        <v>0.96199599999999996</v>
      </c>
      <c r="D12" s="34">
        <v>0.99765700000000002</v>
      </c>
      <c r="E12" s="34">
        <v>0.93953399999999998</v>
      </c>
      <c r="F12" s="34">
        <v>0.77958099999999997</v>
      </c>
      <c r="G12" s="34">
        <v>0.62647399999999998</v>
      </c>
      <c r="H12" s="34">
        <v>54.792900000000003</v>
      </c>
      <c r="I12" s="34">
        <v>80.910749999999993</v>
      </c>
      <c r="J12" s="34">
        <v>1.2208619999999999</v>
      </c>
      <c r="K12" s="35">
        <v>1.223795</v>
      </c>
    </row>
    <row r="13" spans="1:11" x14ac:dyDescent="0.2">
      <c r="A13" s="41" t="str">
        <v>December</v>
      </c>
      <c r="B13" s="39">
        <v>3.6730369999999999</v>
      </c>
      <c r="C13" s="36">
        <v>0.95622799999999997</v>
      </c>
      <c r="D13" s="36">
        <v>0.99050400000000005</v>
      </c>
      <c r="E13" s="36">
        <v>0.92174900000000004</v>
      </c>
      <c r="F13" s="36">
        <v>0.76297099999999995</v>
      </c>
      <c r="G13" s="36">
        <v>0.62013700000000005</v>
      </c>
      <c r="H13" s="36">
        <v>54.621371000000003</v>
      </c>
      <c r="I13" s="36">
        <v>83.583241000000001</v>
      </c>
      <c r="J13" s="36">
        <v>1.2054020000000001</v>
      </c>
      <c r="K13" s="37">
        <v>1.2206349999999999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K13"/>
  <sheetViews>
    <sheetView showGridLines="0" workbookViewId="0"/>
  </sheetViews>
  <sheetFormatPr baseColWidth="10" defaultColWidth="9.1640625" defaultRowHeight="15" x14ac:dyDescent="0.2"/>
  <cols>
    <col min="1" max="11" width="12.6640625" customWidth="1"/>
  </cols>
  <sheetData>
    <row r="1" spans="1:11" x14ac:dyDescent="0.2">
      <c r="A1" s="46">
        <v>2013</v>
      </c>
      <c r="B1" s="47" t="str">
        <f t="array" ref="B1:K1">TRANSPOSE(Currency_List)</f>
        <v>AED</v>
      </c>
      <c r="C1" s="48" t="str">
        <v>AUD</v>
      </c>
      <c r="D1" s="48" t="str">
        <v>CAD</v>
      </c>
      <c r="E1" s="48" t="str">
        <v>CHF</v>
      </c>
      <c r="F1" s="48" t="str">
        <v>EUR</v>
      </c>
      <c r="G1" s="48" t="str">
        <v>GBP</v>
      </c>
      <c r="H1" s="48" t="str">
        <v>INR</v>
      </c>
      <c r="I1" s="48" t="str">
        <v>JPY</v>
      </c>
      <c r="J1" s="48" t="str">
        <v>NZD</v>
      </c>
      <c r="K1" s="49" t="str">
        <v>SGD</v>
      </c>
    </row>
    <row r="2" spans="1:11" x14ac:dyDescent="0.2">
      <c r="A2" s="42" t="str">
        <f t="array" ref="A2:A13">Month_List</f>
        <v>January</v>
      </c>
      <c r="B2" s="43">
        <v>3.6730399999999999</v>
      </c>
      <c r="C2" s="44">
        <v>0.95312200000000002</v>
      </c>
      <c r="D2" s="44">
        <v>0.99223499999999998</v>
      </c>
      <c r="E2" s="44">
        <v>0.924037</v>
      </c>
      <c r="F2" s="44">
        <v>0.75275999999999998</v>
      </c>
      <c r="G2" s="44">
        <v>0.62573999999999996</v>
      </c>
      <c r="H2" s="44">
        <v>54.314580999999997</v>
      </c>
      <c r="I2" s="44">
        <v>88.983226000000002</v>
      </c>
      <c r="J2" s="44">
        <v>1.196258</v>
      </c>
      <c r="K2" s="45">
        <v>1.2276549999999999</v>
      </c>
    </row>
    <row r="3" spans="1:11" x14ac:dyDescent="0.2">
      <c r="A3" s="40" t="str">
        <v>February</v>
      </c>
      <c r="B3" s="38">
        <v>3.6730390000000002</v>
      </c>
      <c r="C3" s="34">
        <v>0.96870900000000004</v>
      </c>
      <c r="D3" s="34">
        <v>1.008024</v>
      </c>
      <c r="E3" s="34">
        <v>0.91979100000000003</v>
      </c>
      <c r="F3" s="34">
        <v>0.74754100000000001</v>
      </c>
      <c r="G3" s="34">
        <v>0.64460700000000004</v>
      </c>
      <c r="H3" s="34">
        <v>53.8065</v>
      </c>
      <c r="I3" s="34">
        <v>93.035320999999996</v>
      </c>
      <c r="J3" s="34">
        <v>1.190812</v>
      </c>
      <c r="K3" s="35">
        <v>1.238407</v>
      </c>
    </row>
    <row r="4" spans="1:11" x14ac:dyDescent="0.2">
      <c r="A4" s="40" t="str">
        <v>March</v>
      </c>
      <c r="B4" s="38">
        <v>3.6730149999999999</v>
      </c>
      <c r="C4" s="34">
        <v>0.96728999999999998</v>
      </c>
      <c r="D4" s="34">
        <v>1.0243</v>
      </c>
      <c r="E4" s="34">
        <v>0.94578499999999999</v>
      </c>
      <c r="F4" s="34">
        <v>0.77135500000000001</v>
      </c>
      <c r="G4" s="34">
        <v>0.66279200000000005</v>
      </c>
      <c r="H4" s="34">
        <v>54.418984000000002</v>
      </c>
      <c r="I4" s="34">
        <v>94.706742000000006</v>
      </c>
      <c r="J4" s="34">
        <v>1.2068650000000001</v>
      </c>
      <c r="K4" s="35">
        <v>1.2459199999999999</v>
      </c>
    </row>
    <row r="5" spans="1:11" x14ac:dyDescent="0.2">
      <c r="A5" s="40" t="str">
        <v>April</v>
      </c>
      <c r="B5" s="38">
        <v>3.6729750000000001</v>
      </c>
      <c r="C5" s="34">
        <v>0.96354099999999998</v>
      </c>
      <c r="D5" s="34">
        <v>1.0186459999999999</v>
      </c>
      <c r="E5" s="34">
        <v>0.936863</v>
      </c>
      <c r="F5" s="34">
        <v>0.76812800000000003</v>
      </c>
      <c r="G5" s="34">
        <v>0.653281</v>
      </c>
      <c r="H5" s="34">
        <v>54.361967</v>
      </c>
      <c r="I5" s="34">
        <v>97.824633000000006</v>
      </c>
      <c r="J5" s="34">
        <v>1.1806570000000001</v>
      </c>
      <c r="K5" s="35">
        <v>1.2382919999999999</v>
      </c>
    </row>
    <row r="6" spans="1:11" x14ac:dyDescent="0.2">
      <c r="A6" s="40" t="str">
        <v>May</v>
      </c>
      <c r="B6" s="38">
        <v>3.673044</v>
      </c>
      <c r="C6" s="34">
        <v>1.0071829999999999</v>
      </c>
      <c r="D6" s="34">
        <v>1.019315</v>
      </c>
      <c r="E6" s="34">
        <v>0.95522799999999997</v>
      </c>
      <c r="F6" s="34">
        <v>0.77019400000000005</v>
      </c>
      <c r="G6" s="34">
        <v>0.65337500000000004</v>
      </c>
      <c r="H6" s="34">
        <v>54.881225999999998</v>
      </c>
      <c r="I6" s="34">
        <v>100.926242</v>
      </c>
      <c r="J6" s="34">
        <v>1.210866</v>
      </c>
      <c r="K6" s="35">
        <v>1.2479709999999999</v>
      </c>
    </row>
    <row r="7" spans="1:11" x14ac:dyDescent="0.2">
      <c r="A7" s="40" t="str">
        <v>June</v>
      </c>
      <c r="B7" s="38">
        <v>3.672965</v>
      </c>
      <c r="C7" s="34">
        <v>1.0594140000000001</v>
      </c>
      <c r="D7" s="34">
        <v>1.0318039999999999</v>
      </c>
      <c r="E7" s="34">
        <v>0.93514200000000003</v>
      </c>
      <c r="F7" s="34">
        <v>0.75881299999999996</v>
      </c>
      <c r="G7" s="34">
        <v>0.646455</v>
      </c>
      <c r="H7" s="34">
        <v>58.179167</v>
      </c>
      <c r="I7" s="34">
        <v>97.277696000000006</v>
      </c>
      <c r="J7" s="34">
        <v>1.264038</v>
      </c>
      <c r="K7" s="35">
        <v>1.2602409999999999</v>
      </c>
    </row>
    <row r="8" spans="1:11" x14ac:dyDescent="0.2">
      <c r="A8" s="40" t="str">
        <v>July</v>
      </c>
      <c r="B8" s="38">
        <v>3.6730179999999999</v>
      </c>
      <c r="C8" s="34">
        <v>1.0919840000000001</v>
      </c>
      <c r="D8" s="34">
        <v>1.041515</v>
      </c>
      <c r="E8" s="34">
        <v>0.94555699999999998</v>
      </c>
      <c r="F8" s="34">
        <v>0.76494899999999999</v>
      </c>
      <c r="G8" s="34">
        <v>0.65909499999999999</v>
      </c>
      <c r="H8" s="34">
        <v>59.699773999999998</v>
      </c>
      <c r="I8" s="34">
        <v>99.754757999999995</v>
      </c>
      <c r="J8" s="34">
        <v>1.2700979999999999</v>
      </c>
      <c r="K8" s="35">
        <v>1.268214</v>
      </c>
    </row>
    <row r="9" spans="1:11" x14ac:dyDescent="0.2">
      <c r="A9" s="40" t="str">
        <v>August</v>
      </c>
      <c r="B9" s="38">
        <v>3.6730100000000001</v>
      </c>
      <c r="C9" s="34">
        <v>1.1056710000000001</v>
      </c>
      <c r="D9" s="34">
        <v>1.0393140000000001</v>
      </c>
      <c r="E9" s="34">
        <v>0.92535400000000001</v>
      </c>
      <c r="F9" s="34">
        <v>0.75062799999999996</v>
      </c>
      <c r="G9" s="34">
        <v>0.64544000000000001</v>
      </c>
      <c r="H9" s="34">
        <v>62.618741999999997</v>
      </c>
      <c r="I9" s="34">
        <v>97.842145000000002</v>
      </c>
      <c r="J9" s="34">
        <v>1.2619530000000001</v>
      </c>
      <c r="K9" s="35">
        <v>1.271684</v>
      </c>
    </row>
    <row r="10" spans="1:11" x14ac:dyDescent="0.2">
      <c r="A10" s="40" t="str">
        <v>September</v>
      </c>
      <c r="B10" s="38">
        <v>3.6730230000000001</v>
      </c>
      <c r="C10" s="34">
        <v>1.080317</v>
      </c>
      <c r="D10" s="34">
        <v>1.036557</v>
      </c>
      <c r="E10" s="34">
        <v>0.923848</v>
      </c>
      <c r="F10" s="34">
        <v>0.74923300000000004</v>
      </c>
      <c r="G10" s="34">
        <v>0.63118799999999997</v>
      </c>
      <c r="H10" s="34">
        <v>63.801724</v>
      </c>
      <c r="I10" s="34">
        <v>99.119483000000002</v>
      </c>
      <c r="J10" s="34">
        <v>1.231603</v>
      </c>
      <c r="K10" s="35">
        <v>1.2639940000000001</v>
      </c>
    </row>
    <row r="11" spans="1:11" x14ac:dyDescent="0.2">
      <c r="A11" s="40" t="str">
        <v>October</v>
      </c>
      <c r="B11" s="38">
        <v>3.6730019999999999</v>
      </c>
      <c r="C11" s="34">
        <v>1.0507500000000001</v>
      </c>
      <c r="D11" s="34">
        <v>1.035523</v>
      </c>
      <c r="E11" s="34">
        <v>0.90308999999999995</v>
      </c>
      <c r="F11" s="34">
        <v>0.73318099999999997</v>
      </c>
      <c r="G11" s="34">
        <v>0.62150000000000005</v>
      </c>
      <c r="H11" s="34">
        <v>61.485081000000001</v>
      </c>
      <c r="I11" s="34">
        <v>97.824081000000007</v>
      </c>
      <c r="J11" s="34">
        <v>1.1979340000000001</v>
      </c>
      <c r="K11" s="35">
        <v>1.243325</v>
      </c>
    </row>
    <row r="12" spans="1:11" x14ac:dyDescent="0.2">
      <c r="A12" s="40" t="str">
        <v>November</v>
      </c>
      <c r="B12" s="38">
        <v>3.6730130000000001</v>
      </c>
      <c r="C12" s="34">
        <v>1.0725</v>
      </c>
      <c r="D12" s="34">
        <v>1.0481959999999999</v>
      </c>
      <c r="E12" s="34">
        <v>0.91298199999999996</v>
      </c>
      <c r="F12" s="34">
        <v>0.74121700000000001</v>
      </c>
      <c r="G12" s="34">
        <v>0.62135600000000002</v>
      </c>
      <c r="H12" s="34">
        <v>62.589399999999998</v>
      </c>
      <c r="I12" s="34">
        <v>99.984317000000004</v>
      </c>
      <c r="J12" s="34">
        <v>1.2115800000000001</v>
      </c>
      <c r="K12" s="35">
        <v>1.247552</v>
      </c>
    </row>
    <row r="13" spans="1:11" x14ac:dyDescent="0.2">
      <c r="A13" s="41" t="str">
        <v>December</v>
      </c>
      <c r="B13" s="39">
        <v>3.6730019999999999</v>
      </c>
      <c r="C13" s="36">
        <v>1.1131089999999999</v>
      </c>
      <c r="D13" s="36">
        <v>1.063922</v>
      </c>
      <c r="E13" s="36">
        <v>0.89396600000000004</v>
      </c>
      <c r="F13" s="36">
        <v>0.72994599999999998</v>
      </c>
      <c r="G13" s="36">
        <v>0.61082099999999995</v>
      </c>
      <c r="H13" s="36">
        <v>61.863581000000003</v>
      </c>
      <c r="I13" s="36">
        <v>103.46229</v>
      </c>
      <c r="J13" s="36">
        <v>1.217044</v>
      </c>
      <c r="K13" s="37">
        <v>1.2592190000000001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K13"/>
  <sheetViews>
    <sheetView showGridLines="0" workbookViewId="0">
      <selection activeCell="A10" sqref="A10:XFD10"/>
    </sheetView>
  </sheetViews>
  <sheetFormatPr baseColWidth="10" defaultColWidth="9.1640625" defaultRowHeight="15" x14ac:dyDescent="0.2"/>
  <cols>
    <col min="1" max="11" width="12.6640625" customWidth="1"/>
  </cols>
  <sheetData>
    <row r="1" spans="1:11" x14ac:dyDescent="0.2">
      <c r="A1" s="46">
        <v>2014</v>
      </c>
      <c r="B1" s="47" t="str">
        <f t="array" ref="B1:K1">TRANSPOSE(Currency_List)</f>
        <v>AED</v>
      </c>
      <c r="C1" s="48" t="str">
        <v>AUD</v>
      </c>
      <c r="D1" s="48" t="str">
        <v>CAD</v>
      </c>
      <c r="E1" s="48" t="str">
        <v>CHF</v>
      </c>
      <c r="F1" s="48" t="str">
        <v>EUR</v>
      </c>
      <c r="G1" s="48" t="str">
        <v>GBP</v>
      </c>
      <c r="H1" s="48" t="str">
        <v>INR</v>
      </c>
      <c r="I1" s="48" t="str">
        <v>JPY</v>
      </c>
      <c r="J1" s="48" t="str">
        <v>NZD</v>
      </c>
      <c r="K1" s="49" t="str">
        <v>SGD</v>
      </c>
    </row>
    <row r="2" spans="1:11" x14ac:dyDescent="0.2">
      <c r="A2" s="42" t="str">
        <f t="array" ref="A2:A13">Month_List</f>
        <v>January</v>
      </c>
      <c r="B2" s="43">
        <v>3.6729970000000001</v>
      </c>
      <c r="C2" s="44">
        <v>1.1288590000000001</v>
      </c>
      <c r="D2" s="44">
        <v>1.0904210000000001</v>
      </c>
      <c r="E2" s="44">
        <v>0.90303800000000001</v>
      </c>
      <c r="F2" s="44">
        <v>0.73374499999999998</v>
      </c>
      <c r="G2" s="44">
        <v>0.60718300000000003</v>
      </c>
      <c r="H2" s="44">
        <v>62.074612999999999</v>
      </c>
      <c r="I2" s="44">
        <v>103.959371</v>
      </c>
      <c r="J2" s="44">
        <v>1.208634</v>
      </c>
      <c r="K2" s="45">
        <v>1.2716810000000001</v>
      </c>
    </row>
    <row r="3" spans="1:11" x14ac:dyDescent="0.2">
      <c r="A3" s="40" t="str">
        <v>February</v>
      </c>
      <c r="B3" s="38">
        <v>3.6730040000000002</v>
      </c>
      <c r="C3" s="34">
        <v>1.11669</v>
      </c>
      <c r="D3" s="34">
        <v>1.105618</v>
      </c>
      <c r="E3" s="34">
        <v>0.89532500000000004</v>
      </c>
      <c r="F3" s="34">
        <v>0.73275800000000002</v>
      </c>
      <c r="G3" s="34">
        <v>0.60426500000000005</v>
      </c>
      <c r="H3" s="34">
        <v>62.180695999999998</v>
      </c>
      <c r="I3" s="34">
        <v>102.14346399999999</v>
      </c>
      <c r="J3" s="34">
        <v>1.2084159999999999</v>
      </c>
      <c r="K3" s="35">
        <v>1.266721</v>
      </c>
    </row>
    <row r="4" spans="1:11" x14ac:dyDescent="0.2">
      <c r="A4" s="40" t="str">
        <v>March</v>
      </c>
      <c r="B4" s="38">
        <v>3.6729949999999998</v>
      </c>
      <c r="C4" s="34">
        <v>1.1024430000000001</v>
      </c>
      <c r="D4" s="34">
        <v>1.110703</v>
      </c>
      <c r="E4" s="34">
        <v>0.88015500000000002</v>
      </c>
      <c r="F4" s="34">
        <v>0.72311899999999996</v>
      </c>
      <c r="G4" s="34">
        <v>0.60121800000000003</v>
      </c>
      <c r="H4" s="34">
        <v>60.997096999999997</v>
      </c>
      <c r="I4" s="34">
        <v>102.286468</v>
      </c>
      <c r="J4" s="34">
        <v>1.1735679999999999</v>
      </c>
      <c r="K4" s="35">
        <v>1.2673920000000001</v>
      </c>
    </row>
    <row r="5" spans="1:11" x14ac:dyDescent="0.2">
      <c r="A5" s="40" t="str">
        <v>April</v>
      </c>
      <c r="B5" s="38">
        <v>3.6730149999999999</v>
      </c>
      <c r="C5" s="34">
        <v>1.0736049999999999</v>
      </c>
      <c r="D5" s="34">
        <v>1.0997490000000001</v>
      </c>
      <c r="E5" s="34">
        <v>0.88314999999999999</v>
      </c>
      <c r="F5" s="34">
        <v>0.72434600000000005</v>
      </c>
      <c r="G5" s="34">
        <v>0.59763299999999997</v>
      </c>
      <c r="H5" s="34">
        <v>60.330117000000001</v>
      </c>
      <c r="I5" s="34">
        <v>102.47315</v>
      </c>
      <c r="J5" s="34">
        <v>1.161735</v>
      </c>
      <c r="K5" s="35">
        <v>1.2548429999999999</v>
      </c>
    </row>
    <row r="6" spans="1:11" x14ac:dyDescent="0.2">
      <c r="A6" s="40" t="str">
        <v>May</v>
      </c>
      <c r="B6" s="38">
        <v>3.673</v>
      </c>
      <c r="C6" s="34">
        <v>1.0702</v>
      </c>
      <c r="D6" s="34">
        <v>1.089521</v>
      </c>
      <c r="E6" s="34">
        <v>0.88834999999999997</v>
      </c>
      <c r="F6" s="34">
        <v>0.72792299999999999</v>
      </c>
      <c r="G6" s="34">
        <v>0.59377800000000003</v>
      </c>
      <c r="H6" s="34">
        <v>59.308661000000001</v>
      </c>
      <c r="I6" s="34">
        <v>101.829548</v>
      </c>
      <c r="J6" s="34">
        <v>1.1620950000000001</v>
      </c>
      <c r="K6" s="35">
        <v>1.25177</v>
      </c>
    </row>
    <row r="7" spans="1:11" x14ac:dyDescent="0.2">
      <c r="A7" s="40" t="str">
        <v>June</v>
      </c>
      <c r="B7" s="38">
        <v>3.6730019999999999</v>
      </c>
      <c r="C7" s="34">
        <v>1.0679479999999999</v>
      </c>
      <c r="D7" s="34">
        <v>1.082865</v>
      </c>
      <c r="E7" s="34">
        <v>0.89581699999999997</v>
      </c>
      <c r="F7" s="34">
        <v>0.73533400000000004</v>
      </c>
      <c r="G7" s="34">
        <v>0.59167199999999998</v>
      </c>
      <c r="H7" s="34">
        <v>59.695999999999998</v>
      </c>
      <c r="I7" s="34">
        <v>102.06555</v>
      </c>
      <c r="J7" s="34">
        <v>1.160528</v>
      </c>
      <c r="K7" s="35">
        <v>1.2513620000000001</v>
      </c>
    </row>
    <row r="8" spans="1:11" x14ac:dyDescent="0.2">
      <c r="A8" s="40" t="str">
        <v>July</v>
      </c>
      <c r="B8" s="38">
        <v>3.672987</v>
      </c>
      <c r="C8" s="34">
        <v>1.064708</v>
      </c>
      <c r="D8" s="34">
        <v>1.0726899999999999</v>
      </c>
      <c r="E8" s="34">
        <v>0.89695000000000003</v>
      </c>
      <c r="F8" s="34">
        <v>0.73821400000000004</v>
      </c>
      <c r="G8" s="34">
        <v>0.58540099999999995</v>
      </c>
      <c r="H8" s="34">
        <v>60.044176999999998</v>
      </c>
      <c r="I8" s="34">
        <v>101.692339</v>
      </c>
      <c r="J8" s="34">
        <v>1.1493530000000001</v>
      </c>
      <c r="K8" s="35">
        <v>1.2427520000000001</v>
      </c>
    </row>
    <row r="9" spans="1:11" x14ac:dyDescent="0.2">
      <c r="A9" s="40" t="str">
        <v>August</v>
      </c>
      <c r="B9" s="38">
        <v>3.6730670000000001</v>
      </c>
      <c r="C9" s="34">
        <v>1.074195</v>
      </c>
      <c r="D9" s="34">
        <v>1.0922259999999999</v>
      </c>
      <c r="E9" s="34">
        <v>0.90916799999999998</v>
      </c>
      <c r="F9" s="34">
        <v>0.75027900000000003</v>
      </c>
      <c r="G9" s="34">
        <v>0.59840599999999999</v>
      </c>
      <c r="H9" s="34">
        <v>60.869799999999998</v>
      </c>
      <c r="I9" s="34">
        <v>102.88856699999999</v>
      </c>
      <c r="J9" s="34">
        <v>1.184113</v>
      </c>
      <c r="K9" s="35">
        <v>1.2484900000000001</v>
      </c>
    </row>
    <row r="10" spans="1:11" x14ac:dyDescent="0.2">
      <c r="A10" s="40" t="str">
        <v>September</v>
      </c>
      <c r="B10" s="38">
        <v>3.673</v>
      </c>
      <c r="C10" s="34">
        <v>1.103888</v>
      </c>
      <c r="D10" s="34">
        <v>1.0997509999999999</v>
      </c>
      <c r="E10" s="34">
        <v>0.93576700000000002</v>
      </c>
      <c r="F10" s="34">
        <v>0.77485300000000001</v>
      </c>
      <c r="G10" s="34">
        <v>0.61326199999999997</v>
      </c>
      <c r="H10" s="34">
        <v>60.84225</v>
      </c>
      <c r="I10" s="34">
        <v>107.234607</v>
      </c>
      <c r="J10" s="34">
        <v>1.2268520000000001</v>
      </c>
      <c r="K10" s="35">
        <v>1.262839</v>
      </c>
    </row>
    <row r="11" spans="1:11" x14ac:dyDescent="0.2">
      <c r="A11" s="40" t="str">
        <v>October</v>
      </c>
      <c r="B11" s="38">
        <v>3.6729850000000002</v>
      </c>
      <c r="C11" s="34">
        <v>1.1410169999999999</v>
      </c>
      <c r="D11" s="34">
        <v>1.122052</v>
      </c>
      <c r="E11" s="34">
        <v>0.95347800000000005</v>
      </c>
      <c r="F11" s="34">
        <v>0.78925299999999998</v>
      </c>
      <c r="G11" s="34">
        <v>0.62220799999999998</v>
      </c>
      <c r="H11" s="34">
        <v>61.337676999999999</v>
      </c>
      <c r="I11" s="34">
        <v>107.94932300000001</v>
      </c>
      <c r="J11" s="34">
        <v>1.2712829999999999</v>
      </c>
      <c r="K11" s="35">
        <v>1.2752140000000001</v>
      </c>
    </row>
    <row r="12" spans="1:11" x14ac:dyDescent="0.2">
      <c r="A12" s="40" t="str">
        <v>November</v>
      </c>
      <c r="B12" s="38">
        <v>3.673028</v>
      </c>
      <c r="C12" s="34">
        <v>1.1547350000000001</v>
      </c>
      <c r="D12" s="34">
        <v>1.131759</v>
      </c>
      <c r="E12" s="34">
        <v>0.96420399999999995</v>
      </c>
      <c r="F12" s="34">
        <v>0.80164599999999997</v>
      </c>
      <c r="G12" s="34">
        <v>0.63359600000000005</v>
      </c>
      <c r="H12" s="34">
        <v>61.662466999999999</v>
      </c>
      <c r="I12" s="34">
        <v>115.976783</v>
      </c>
      <c r="J12" s="34">
        <v>1.2767250000000001</v>
      </c>
      <c r="K12" s="35">
        <v>1.2953460000000001</v>
      </c>
    </row>
    <row r="13" spans="1:11" x14ac:dyDescent="0.2">
      <c r="A13" s="41" t="str">
        <v>December</v>
      </c>
      <c r="B13" s="39">
        <v>3.6730149999999999</v>
      </c>
      <c r="C13" s="36">
        <v>1.213293</v>
      </c>
      <c r="D13" s="36">
        <v>1.1541440000000001</v>
      </c>
      <c r="E13" s="36">
        <v>0.97591099999999997</v>
      </c>
      <c r="F13" s="36">
        <v>0.811697</v>
      </c>
      <c r="G13" s="36">
        <v>0.63962699999999995</v>
      </c>
      <c r="H13" s="36">
        <v>62.797564999999999</v>
      </c>
      <c r="I13" s="36">
        <v>119.57141900000001</v>
      </c>
      <c r="J13" s="36">
        <v>1.2890060000000001</v>
      </c>
      <c r="K13" s="37">
        <v>1.316106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K13"/>
  <sheetViews>
    <sheetView showGridLines="0" workbookViewId="0">
      <selection activeCell="C10" sqref="C10"/>
    </sheetView>
  </sheetViews>
  <sheetFormatPr baseColWidth="10" defaultColWidth="9.1640625" defaultRowHeight="15" x14ac:dyDescent="0.2"/>
  <cols>
    <col min="1" max="11" width="12.6640625" customWidth="1"/>
  </cols>
  <sheetData>
    <row r="1" spans="1:11" x14ac:dyDescent="0.2">
      <c r="A1" s="46">
        <v>2015</v>
      </c>
      <c r="B1" s="47" t="str">
        <f t="array" ref="B1:K1">TRANSPOSE(Currency_List)</f>
        <v>AED</v>
      </c>
      <c r="C1" s="48" t="str">
        <v>AUD</v>
      </c>
      <c r="D1" s="48" t="str">
        <v>CAD</v>
      </c>
      <c r="E1" s="48" t="str">
        <v>CHF</v>
      </c>
      <c r="F1" s="48" t="str">
        <v>EUR</v>
      </c>
      <c r="G1" s="48" t="str">
        <v>GBP</v>
      </c>
      <c r="H1" s="48" t="str">
        <v>INR</v>
      </c>
      <c r="I1" s="48" t="str">
        <v>JPY</v>
      </c>
      <c r="J1" s="48" t="str">
        <v>NZD</v>
      </c>
      <c r="K1" s="49" t="str">
        <v>SGD</v>
      </c>
    </row>
    <row r="2" spans="1:11" x14ac:dyDescent="0.2">
      <c r="A2" s="42" t="str">
        <f t="array" ref="A2:A13">Month_List</f>
        <v>January</v>
      </c>
      <c r="B2" s="43">
        <v>3.6730390000000002</v>
      </c>
      <c r="C2" s="44">
        <v>1.237968</v>
      </c>
      <c r="D2" s="44">
        <v>1.2099</v>
      </c>
      <c r="E2" s="44">
        <v>0.93722399999999995</v>
      </c>
      <c r="F2" s="44">
        <v>0.86161500000000002</v>
      </c>
      <c r="G2" s="44">
        <v>0.66065600000000002</v>
      </c>
      <c r="H2" s="44">
        <v>62.081803999999998</v>
      </c>
      <c r="I2" s="44">
        <v>118.267161</v>
      </c>
      <c r="J2" s="44">
        <v>1.308052</v>
      </c>
      <c r="K2" s="45">
        <v>1.3370679999999999</v>
      </c>
    </row>
    <row r="3" spans="1:11" x14ac:dyDescent="0.2">
      <c r="A3" s="40" t="str">
        <v>February</v>
      </c>
      <c r="B3" s="38">
        <v>3.6730160000000001</v>
      </c>
      <c r="C3" s="34">
        <v>1.282689</v>
      </c>
      <c r="D3" s="34">
        <v>1.2516160000000001</v>
      </c>
      <c r="E3" s="34">
        <v>0.93394500000000003</v>
      </c>
      <c r="F3" s="34">
        <v>0.88107599999999997</v>
      </c>
      <c r="G3" s="34">
        <v>0.65298599999999996</v>
      </c>
      <c r="H3" s="34">
        <v>62.017482000000001</v>
      </c>
      <c r="I3" s="34">
        <v>118.700625</v>
      </c>
      <c r="J3" s="34">
        <v>1.3440179999999999</v>
      </c>
      <c r="K3" s="35">
        <v>1.3552379999999999</v>
      </c>
    </row>
    <row r="4" spans="1:11" x14ac:dyDescent="0.2">
      <c r="A4" s="40" t="str">
        <v>March</v>
      </c>
      <c r="B4" s="38">
        <v>3.672974</v>
      </c>
      <c r="C4" s="34">
        <v>1.2934110000000001</v>
      </c>
      <c r="D4" s="34">
        <v>1.2614939999999999</v>
      </c>
      <c r="E4" s="34">
        <v>0.97895699999999997</v>
      </c>
      <c r="F4" s="34">
        <v>0.92338299999999995</v>
      </c>
      <c r="G4" s="34">
        <v>0.66767799999999999</v>
      </c>
      <c r="H4" s="34">
        <v>62.48471</v>
      </c>
      <c r="I4" s="34">
        <v>120.341145</v>
      </c>
      <c r="J4" s="34">
        <v>1.3395760000000001</v>
      </c>
      <c r="K4" s="35">
        <v>1.3770009999999999</v>
      </c>
    </row>
    <row r="5" spans="1:11" x14ac:dyDescent="0.2">
      <c r="A5" s="40" t="str">
        <v>April</v>
      </c>
      <c r="B5" s="38">
        <v>3.6729949999999998</v>
      </c>
      <c r="C5" s="34">
        <v>1.294143</v>
      </c>
      <c r="D5" s="34">
        <v>1.23637</v>
      </c>
      <c r="E5" s="34">
        <v>0.96051399999999998</v>
      </c>
      <c r="F5" s="34">
        <v>0.92544999999999999</v>
      </c>
      <c r="G5" s="34">
        <v>0.66967399999999999</v>
      </c>
      <c r="H5" s="34">
        <v>62.614983000000002</v>
      </c>
      <c r="I5" s="34">
        <v>119.474867</v>
      </c>
      <c r="J5" s="34">
        <v>1.3170230000000001</v>
      </c>
      <c r="K5" s="35">
        <v>1.35009</v>
      </c>
    </row>
    <row r="6" spans="1:11" x14ac:dyDescent="0.2">
      <c r="A6" s="40" t="str">
        <v>May</v>
      </c>
      <c r="B6" s="38">
        <v>3.6730309999999999</v>
      </c>
      <c r="C6" s="34">
        <v>1.2683180000000001</v>
      </c>
      <c r="D6" s="34">
        <v>1.2177180000000001</v>
      </c>
      <c r="E6" s="34">
        <v>0.93182200000000004</v>
      </c>
      <c r="F6" s="34">
        <v>0.89552200000000004</v>
      </c>
      <c r="G6" s="34">
        <v>0.64698199999999995</v>
      </c>
      <c r="H6" s="34">
        <v>63.656613</v>
      </c>
      <c r="I6" s="34">
        <v>120.68466100000001</v>
      </c>
      <c r="J6" s="34">
        <v>1.352306</v>
      </c>
      <c r="K6" s="35">
        <v>1.3334870000000001</v>
      </c>
    </row>
    <row r="7" spans="1:11" x14ac:dyDescent="0.2">
      <c r="A7" s="40" t="str">
        <v>June</v>
      </c>
      <c r="B7" s="38">
        <v>3.6729769999999999</v>
      </c>
      <c r="C7" s="34">
        <v>1.297247</v>
      </c>
      <c r="D7" s="34">
        <v>1.2356819999999999</v>
      </c>
      <c r="E7" s="34">
        <v>0.93137800000000004</v>
      </c>
      <c r="F7" s="34">
        <v>0.89110599999999995</v>
      </c>
      <c r="G7" s="34">
        <v>0.64227699999999999</v>
      </c>
      <c r="H7" s="34">
        <v>63.780566999999998</v>
      </c>
      <c r="I7" s="34">
        <v>123.829983</v>
      </c>
      <c r="J7" s="34">
        <v>1.4312199999999999</v>
      </c>
      <c r="K7" s="35">
        <v>1.34581</v>
      </c>
    </row>
    <row r="8" spans="1:11" x14ac:dyDescent="0.2">
      <c r="A8" s="40" t="str">
        <v>July</v>
      </c>
      <c r="B8" s="38">
        <v>3.6730269999999998</v>
      </c>
      <c r="C8" s="34">
        <v>1.347844</v>
      </c>
      <c r="D8" s="34">
        <v>1.282527</v>
      </c>
      <c r="E8" s="34">
        <v>0.95267999999999997</v>
      </c>
      <c r="F8" s="34">
        <v>0.90847100000000003</v>
      </c>
      <c r="G8" s="34">
        <v>0.64280300000000001</v>
      </c>
      <c r="H8" s="34">
        <v>63.600031999999999</v>
      </c>
      <c r="I8" s="34">
        <v>123.265726</v>
      </c>
      <c r="J8" s="34">
        <v>1.5041389999999999</v>
      </c>
      <c r="K8" s="35">
        <v>1.359939</v>
      </c>
    </row>
    <row r="9" spans="1:11" x14ac:dyDescent="0.2">
      <c r="A9" s="40" t="str">
        <v>August</v>
      </c>
      <c r="B9" s="38">
        <v>3.6729850000000002</v>
      </c>
      <c r="C9" s="34">
        <v>1.3683419999999999</v>
      </c>
      <c r="D9" s="34">
        <v>1.3141849999999999</v>
      </c>
      <c r="E9" s="34">
        <v>0.96784899999999996</v>
      </c>
      <c r="F9" s="34">
        <v>0.89878100000000005</v>
      </c>
      <c r="G9" s="34">
        <v>0.64160899999999998</v>
      </c>
      <c r="H9" s="34">
        <v>65.025677000000002</v>
      </c>
      <c r="I9" s="34">
        <v>123.214161</v>
      </c>
      <c r="J9" s="34">
        <v>1.5228820000000001</v>
      </c>
      <c r="K9" s="35">
        <v>1.3963300000000001</v>
      </c>
    </row>
    <row r="10" spans="1:11" x14ac:dyDescent="0.2">
      <c r="A10" s="40" t="str">
        <v>September</v>
      </c>
      <c r="B10" s="38">
        <v>3.67279</v>
      </c>
      <c r="C10" s="34">
        <v>1.416088</v>
      </c>
      <c r="D10" s="34">
        <v>1.3261620000000001</v>
      </c>
      <c r="E10" s="34">
        <v>0.97216000000000002</v>
      </c>
      <c r="F10" s="34">
        <v>0.88983599999999996</v>
      </c>
      <c r="G10" s="34">
        <v>0.651945</v>
      </c>
      <c r="H10" s="34">
        <v>66.237432999999996</v>
      </c>
      <c r="I10" s="34">
        <v>120.14149999999999</v>
      </c>
      <c r="J10" s="34">
        <v>1.577763</v>
      </c>
      <c r="K10" s="35">
        <v>1.415097</v>
      </c>
    </row>
    <row r="11" spans="1:11" x14ac:dyDescent="0.2">
      <c r="A11" s="40" t="str">
        <v>October</v>
      </c>
      <c r="B11" s="38">
        <v>3.672939</v>
      </c>
      <c r="C11" s="34">
        <v>1.3880680000000001</v>
      </c>
      <c r="D11" s="34">
        <v>1.3070059999999999</v>
      </c>
      <c r="E11" s="34">
        <v>0.968449</v>
      </c>
      <c r="F11" s="34">
        <v>0.89069100000000001</v>
      </c>
      <c r="G11" s="34">
        <v>0.65249900000000005</v>
      </c>
      <c r="H11" s="34">
        <v>65.019757999999996</v>
      </c>
      <c r="I11" s="34">
        <v>120.136258</v>
      </c>
      <c r="J11" s="34">
        <v>1.4980500000000001</v>
      </c>
      <c r="K11" s="35">
        <v>1.401805</v>
      </c>
    </row>
    <row r="12" spans="1:11" x14ac:dyDescent="0.2">
      <c r="A12" s="40" t="str">
        <v>November</v>
      </c>
      <c r="B12" s="38">
        <v>3.6729250000000002</v>
      </c>
      <c r="C12" s="34">
        <v>1.3999429999999999</v>
      </c>
      <c r="D12" s="34">
        <v>1.3281050000000001</v>
      </c>
      <c r="E12" s="34">
        <v>1.0093939999999999</v>
      </c>
      <c r="F12" s="34">
        <v>0.93152199999999996</v>
      </c>
      <c r="G12" s="34">
        <v>0.658196</v>
      </c>
      <c r="H12" s="34">
        <v>66.127916999999997</v>
      </c>
      <c r="I12" s="34">
        <v>122.55546699999999</v>
      </c>
      <c r="J12" s="34">
        <v>1.523352</v>
      </c>
      <c r="K12" s="35">
        <v>1.414547</v>
      </c>
    </row>
    <row r="13" spans="1:11" x14ac:dyDescent="0.2">
      <c r="A13" s="41" t="str">
        <v>December</v>
      </c>
      <c r="B13" s="39">
        <v>3.6729370000000001</v>
      </c>
      <c r="C13" s="36">
        <v>1.3801000000000001</v>
      </c>
      <c r="D13" s="36">
        <v>1.3701319999999999</v>
      </c>
      <c r="E13" s="36">
        <v>0.99406600000000001</v>
      </c>
      <c r="F13" s="36">
        <v>0.91807000000000005</v>
      </c>
      <c r="G13" s="36">
        <v>0.66658799999999996</v>
      </c>
      <c r="H13" s="36">
        <v>66.505015999999998</v>
      </c>
      <c r="I13" s="36">
        <v>121.61779</v>
      </c>
      <c r="J13" s="36">
        <v>1.482974</v>
      </c>
      <c r="K13" s="37">
        <v>1.407972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K13"/>
  <sheetViews>
    <sheetView showGridLines="0" workbookViewId="0"/>
  </sheetViews>
  <sheetFormatPr baseColWidth="10" defaultColWidth="9.1640625" defaultRowHeight="15" x14ac:dyDescent="0.2"/>
  <cols>
    <col min="1" max="11" width="12.6640625" customWidth="1"/>
  </cols>
  <sheetData>
    <row r="1" spans="1:11" x14ac:dyDescent="0.2">
      <c r="A1" s="46">
        <v>2016</v>
      </c>
      <c r="B1" s="47" t="str">
        <f t="array" ref="B1:K1">TRANSPOSE(Currency_List)</f>
        <v>AED</v>
      </c>
      <c r="C1" s="48" t="str">
        <v>AUD</v>
      </c>
      <c r="D1" s="48" t="str">
        <v>CAD</v>
      </c>
      <c r="E1" s="48" t="str">
        <v>CHF</v>
      </c>
      <c r="F1" s="48" t="str">
        <v>EUR</v>
      </c>
      <c r="G1" s="48" t="str">
        <v>GBP</v>
      </c>
      <c r="H1" s="48" t="str">
        <v>INR</v>
      </c>
      <c r="I1" s="48" t="str">
        <v>JPY</v>
      </c>
      <c r="J1" s="48" t="str">
        <v>NZD</v>
      </c>
      <c r="K1" s="49" t="str">
        <v>SGD</v>
      </c>
    </row>
    <row r="2" spans="1:11" x14ac:dyDescent="0.2">
      <c r="A2" s="42" t="str">
        <f t="array" ref="A2:A13">Month_List</f>
        <v>January</v>
      </c>
      <c r="B2" s="43">
        <v>3.6728839999999998</v>
      </c>
      <c r="C2" s="44">
        <v>1.422723</v>
      </c>
      <c r="D2" s="44">
        <v>1.417969</v>
      </c>
      <c r="E2" s="44">
        <v>1.0070079999999999</v>
      </c>
      <c r="F2" s="44">
        <v>0.92089699999999997</v>
      </c>
      <c r="G2" s="44">
        <v>0.693712</v>
      </c>
      <c r="H2" s="44">
        <v>67.235500000000002</v>
      </c>
      <c r="I2" s="44">
        <v>118.457194</v>
      </c>
      <c r="J2" s="44">
        <v>1.524805</v>
      </c>
      <c r="K2" s="45">
        <v>1.431853</v>
      </c>
    </row>
    <row r="3" spans="1:11" x14ac:dyDescent="0.2">
      <c r="A3" s="40" t="str">
        <v>February</v>
      </c>
      <c r="B3" s="38">
        <v>3.6730100000000001</v>
      </c>
      <c r="C3" s="34">
        <v>1.4034690000000001</v>
      </c>
      <c r="D3" s="34">
        <v>1.380447</v>
      </c>
      <c r="E3" s="34">
        <v>0.99191200000000002</v>
      </c>
      <c r="F3" s="34">
        <v>0.90087300000000003</v>
      </c>
      <c r="G3" s="34">
        <v>0.69866899999999998</v>
      </c>
      <c r="H3" s="34">
        <v>68.255069000000006</v>
      </c>
      <c r="I3" s="34">
        <v>114.77846599999999</v>
      </c>
      <c r="J3" s="34">
        <v>1.508891</v>
      </c>
      <c r="K3" s="35">
        <v>1.405742</v>
      </c>
    </row>
    <row r="4" spans="1:11" x14ac:dyDescent="0.2">
      <c r="A4" s="40" t="str">
        <v>March</v>
      </c>
      <c r="B4" s="38">
        <v>3.6729850000000002</v>
      </c>
      <c r="C4" s="34">
        <v>1.3347469999999999</v>
      </c>
      <c r="D4" s="34">
        <v>1.32389</v>
      </c>
      <c r="E4" s="34">
        <v>0.98244600000000004</v>
      </c>
      <c r="F4" s="34">
        <v>0.89946000000000004</v>
      </c>
      <c r="G4" s="34">
        <v>0.70192399999999999</v>
      </c>
      <c r="H4" s="34">
        <v>66.925112999999996</v>
      </c>
      <c r="I4" s="34">
        <v>112.976274</v>
      </c>
      <c r="J4" s="34">
        <v>1.4845029999999999</v>
      </c>
      <c r="K4" s="35">
        <v>1.3736569999999999</v>
      </c>
    </row>
    <row r="5" spans="1:11" x14ac:dyDescent="0.2">
      <c r="A5" s="40" t="str">
        <v>April</v>
      </c>
      <c r="B5" s="38">
        <v>3.673035</v>
      </c>
      <c r="C5" s="34">
        <v>1.304878</v>
      </c>
      <c r="D5" s="34">
        <v>1.2839050000000001</v>
      </c>
      <c r="E5" s="34">
        <v>0.96380900000000003</v>
      </c>
      <c r="F5" s="34">
        <v>0.88188</v>
      </c>
      <c r="G5" s="34">
        <v>0.69940199999999997</v>
      </c>
      <c r="H5" s="34">
        <v>66.463132999999999</v>
      </c>
      <c r="I5" s="34">
        <v>109.79655</v>
      </c>
      <c r="J5" s="34">
        <v>1.4524220000000001</v>
      </c>
      <c r="K5" s="35">
        <v>1.3506119999999999</v>
      </c>
    </row>
    <row r="6" spans="1:11" x14ac:dyDescent="0.2">
      <c r="A6" s="40" t="str">
        <v>May</v>
      </c>
      <c r="B6" s="38">
        <v>3.6729949999999998</v>
      </c>
      <c r="C6" s="34">
        <v>1.365856</v>
      </c>
      <c r="D6" s="34">
        <v>1.293075</v>
      </c>
      <c r="E6" s="34">
        <v>0.97788699999999995</v>
      </c>
      <c r="F6" s="34">
        <v>0.88436999999999999</v>
      </c>
      <c r="G6" s="34">
        <v>0.68854499999999996</v>
      </c>
      <c r="H6" s="34">
        <v>66.905161000000007</v>
      </c>
      <c r="I6" s="34">
        <v>108.73903199999999</v>
      </c>
      <c r="J6" s="34">
        <v>1.4699690000000001</v>
      </c>
      <c r="K6" s="35">
        <v>1.369245</v>
      </c>
    </row>
    <row r="7" spans="1:11" x14ac:dyDescent="0.2">
      <c r="A7" s="40" t="str">
        <v>June</v>
      </c>
      <c r="B7" s="38">
        <v>3.6729970000000001</v>
      </c>
      <c r="C7" s="34">
        <v>1.3528610000000001</v>
      </c>
      <c r="D7" s="34">
        <v>1.290092</v>
      </c>
      <c r="E7" s="34">
        <v>0.96935899999999997</v>
      </c>
      <c r="F7" s="34">
        <v>0.88937500000000003</v>
      </c>
      <c r="G7" s="34">
        <v>0.70277699999999999</v>
      </c>
      <c r="H7" s="34">
        <v>67.246049999999997</v>
      </c>
      <c r="I7" s="34">
        <v>105.513333</v>
      </c>
      <c r="J7" s="34">
        <v>1.422677</v>
      </c>
      <c r="K7" s="35">
        <v>1.3545100000000001</v>
      </c>
    </row>
    <row r="8" spans="1:11" x14ac:dyDescent="0.2">
      <c r="A8" s="40" t="str">
        <v>July</v>
      </c>
      <c r="B8" s="38">
        <v>3.672971</v>
      </c>
      <c r="C8" s="34">
        <v>1.3284149999999999</v>
      </c>
      <c r="D8" s="34">
        <v>1.30318</v>
      </c>
      <c r="E8" s="34">
        <v>0.98146100000000003</v>
      </c>
      <c r="F8" s="34">
        <v>0.904111</v>
      </c>
      <c r="G8" s="34">
        <v>0.76101300000000005</v>
      </c>
      <c r="H8" s="34">
        <v>67.161258000000004</v>
      </c>
      <c r="I8" s="34">
        <v>103.86712900000001</v>
      </c>
      <c r="J8" s="34">
        <v>1.4006449999999999</v>
      </c>
      <c r="K8" s="35">
        <v>1.350309</v>
      </c>
    </row>
    <row r="9" spans="1:11" x14ac:dyDescent="0.2">
      <c r="A9" s="40" t="str">
        <v>August</v>
      </c>
      <c r="B9" s="38">
        <v>3.673006</v>
      </c>
      <c r="C9" s="34">
        <v>1.3111120000000001</v>
      </c>
      <c r="D9" s="34">
        <v>1.29956</v>
      </c>
      <c r="E9" s="34">
        <v>0.97157400000000005</v>
      </c>
      <c r="F9" s="34">
        <v>0.89261999999999997</v>
      </c>
      <c r="G9" s="34">
        <v>0.76408500000000001</v>
      </c>
      <c r="H9" s="34">
        <v>66.935513</v>
      </c>
      <c r="I9" s="34">
        <v>101.233242</v>
      </c>
      <c r="J9" s="34">
        <v>1.3845339999999999</v>
      </c>
      <c r="K9" s="35">
        <v>1.3472729999999999</v>
      </c>
    </row>
    <row r="10" spans="1:11" x14ac:dyDescent="0.2">
      <c r="A10" s="40" t="str">
        <v>September</v>
      </c>
      <c r="B10" s="38">
        <v>3.6730230000000001</v>
      </c>
      <c r="C10" s="34">
        <v>1.320827</v>
      </c>
      <c r="D10" s="34">
        <v>1.3105260000000001</v>
      </c>
      <c r="E10" s="34">
        <v>0.975132</v>
      </c>
      <c r="F10" s="34">
        <v>0.89263599999999999</v>
      </c>
      <c r="G10" s="34">
        <v>0.76085499999999995</v>
      </c>
      <c r="H10" s="34">
        <v>66.763683</v>
      </c>
      <c r="I10" s="34">
        <v>102.099817</v>
      </c>
      <c r="J10" s="34">
        <v>1.3702669999999999</v>
      </c>
      <c r="K10" s="35">
        <v>1.3601700000000001</v>
      </c>
    </row>
    <row r="11" spans="1:11" x14ac:dyDescent="0.2">
      <c r="A11" s="40" t="str">
        <v>October</v>
      </c>
      <c r="B11" s="38">
        <v>3.673019</v>
      </c>
      <c r="C11" s="34">
        <v>1.3130459999999999</v>
      </c>
      <c r="D11" s="34">
        <v>1.324308</v>
      </c>
      <c r="E11" s="34">
        <v>0.98601300000000003</v>
      </c>
      <c r="F11" s="34">
        <v>0.90642500000000004</v>
      </c>
      <c r="G11" s="34">
        <v>0.80847999999999998</v>
      </c>
      <c r="H11" s="34">
        <v>66.728454999999997</v>
      </c>
      <c r="I11" s="34">
        <v>103.673468</v>
      </c>
      <c r="J11" s="34">
        <v>1.396163</v>
      </c>
      <c r="K11" s="35">
        <v>1.383265</v>
      </c>
    </row>
    <row r="12" spans="1:11" x14ac:dyDescent="0.2">
      <c r="A12" s="40" t="str">
        <v>November</v>
      </c>
      <c r="B12" s="38">
        <v>3.673022</v>
      </c>
      <c r="C12" s="34">
        <v>1.3301050000000001</v>
      </c>
      <c r="D12" s="34">
        <v>1.345756</v>
      </c>
      <c r="E12" s="34">
        <v>0.99648000000000003</v>
      </c>
      <c r="F12" s="34">
        <v>0.92745999999999995</v>
      </c>
      <c r="G12" s="34">
        <v>0.80324899999999999</v>
      </c>
      <c r="H12" s="34">
        <v>67.731350000000006</v>
      </c>
      <c r="I12" s="34">
        <v>108.52975000000001</v>
      </c>
      <c r="J12" s="34">
        <v>1.401103</v>
      </c>
      <c r="K12" s="35">
        <v>1.4118980000000001</v>
      </c>
    </row>
    <row r="13" spans="1:11" x14ac:dyDescent="0.2">
      <c r="A13" s="41" t="str">
        <v>December</v>
      </c>
      <c r="B13" s="39">
        <v>3.6728839999999998</v>
      </c>
      <c r="C13" s="36">
        <v>1.3631800000000001</v>
      </c>
      <c r="D13" s="36">
        <v>1.334768</v>
      </c>
      <c r="E13" s="36">
        <v>1.0199879999999999</v>
      </c>
      <c r="F13" s="36">
        <v>0.94901199999999997</v>
      </c>
      <c r="G13" s="36">
        <v>0.80142999999999998</v>
      </c>
      <c r="H13" s="36">
        <v>67.813509999999994</v>
      </c>
      <c r="I13" s="36">
        <v>116.073137</v>
      </c>
      <c r="J13" s="36">
        <v>1.423319</v>
      </c>
      <c r="K13" s="37">
        <v>1.436412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2060"/>
  </sheetPr>
  <dimension ref="A2:U1014"/>
  <sheetViews>
    <sheetView showGridLines="0" topLeftCell="O2" zoomScale="125" workbookViewId="0">
      <selection activeCell="T6" sqref="T6"/>
    </sheetView>
  </sheetViews>
  <sheetFormatPr baseColWidth="10" defaultColWidth="8.83203125" defaultRowHeight="15" x14ac:dyDescent="0.2"/>
  <cols>
    <col min="2" max="4" width="15.6640625" customWidth="1"/>
    <col min="5" max="18" width="12.6640625" customWidth="1"/>
    <col min="19" max="19" width="23.1640625" customWidth="1"/>
    <col min="20" max="20" width="12.6640625" customWidth="1"/>
  </cols>
  <sheetData>
    <row r="2" spans="1:21" x14ac:dyDescent="0.2">
      <c r="A2" s="10" t="s">
        <v>66</v>
      </c>
      <c r="B2" s="10"/>
      <c r="C2" s="10"/>
      <c r="D2" s="18"/>
      <c r="F2" s="10" t="s">
        <v>47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x14ac:dyDescent="0.2">
      <c r="G3" s="11" t="s">
        <v>62</v>
      </c>
      <c r="H3" s="12">
        <f>IFERROR(INT(SUMPRODUCT(H5:H1012,ROW(H5:H1012))/1234),0)</f>
        <v>20430</v>
      </c>
      <c r="M3" s="11" t="s">
        <v>2</v>
      </c>
      <c r="O3" s="12">
        <f ca="1">IFERROR(INT(SUMPRODUCT(O5:O52,O5:O52)/9876),0)</f>
        <v>4382</v>
      </c>
      <c r="P3" s="12">
        <f>IFERROR(INT(SUMPRODUCT(P5:P52,P5:P52)/12.34),0)</f>
        <v>7912</v>
      </c>
      <c r="Q3" s="12">
        <f t="array" ref="Q3">IFERROR(INT(SUM(Q5:Q52^0.25)),0)</f>
        <v>3725</v>
      </c>
    </row>
    <row r="4" spans="1:21" ht="30" customHeight="1" x14ac:dyDescent="0.2">
      <c r="B4" s="60" t="s">
        <v>67</v>
      </c>
      <c r="C4" s="60" t="s">
        <v>70</v>
      </c>
      <c r="D4" s="60" t="s">
        <v>69</v>
      </c>
      <c r="E4" s="17"/>
      <c r="F4" s="60" t="s">
        <v>68</v>
      </c>
      <c r="G4" s="60" t="s">
        <v>67</v>
      </c>
      <c r="H4" s="60" t="s">
        <v>70</v>
      </c>
      <c r="I4" s="60" t="s">
        <v>69</v>
      </c>
      <c r="J4" s="17"/>
      <c r="K4" s="61" t="s">
        <v>71</v>
      </c>
      <c r="L4" s="61" t="s">
        <v>72</v>
      </c>
      <c r="M4" s="61" t="s">
        <v>73</v>
      </c>
      <c r="N4" s="61" t="s">
        <v>74</v>
      </c>
      <c r="O4" s="61" t="s">
        <v>75</v>
      </c>
      <c r="P4" s="61" t="s">
        <v>76</v>
      </c>
      <c r="Q4" s="61" t="s">
        <v>77</v>
      </c>
      <c r="R4" s="61"/>
      <c r="S4" s="63" t="s">
        <v>78</v>
      </c>
      <c r="T4" s="61"/>
    </row>
    <row r="5" spans="1:21" x14ac:dyDescent="0.2">
      <c r="B5" s="62">
        <v>42734</v>
      </c>
      <c r="C5" s="72">
        <v>62.14</v>
      </c>
      <c r="D5" s="71">
        <v>25575720</v>
      </c>
      <c r="E5" s="66" t="s">
        <v>81</v>
      </c>
      <c r="F5" s="16">
        <f>COUNT(B5:B1012)</f>
        <v>1008</v>
      </c>
      <c r="G5" s="67" cm="1">
        <f t="array" ref="G5">INDEX($B$5:$B$1012, F5)</f>
        <v>41276</v>
      </c>
      <c r="H5" s="69" cm="1">
        <f t="array" ref="H5">INDEX($C$5:$C$1012, F5)</f>
        <v>27.62</v>
      </c>
      <c r="I5" s="70" cm="1">
        <f t="array" ref="I5">INDEX($D$5:$D$1012, F5)</f>
        <v>52897110</v>
      </c>
      <c r="J5" s="85">
        <f>SUM(H5:H25)</f>
        <v>571.971</v>
      </c>
      <c r="K5" s="59">
        <v>41275</v>
      </c>
      <c r="L5" s="59">
        <f t="shared" ref="L5:L52" si="0">EOMONTH(K5,0)</f>
        <v>41305</v>
      </c>
      <c r="M5" s="68">
        <v>1</v>
      </c>
      <c r="N5" s="16">
        <f>MATCH(L5, $G$5:$G$1012, 1)</f>
        <v>21</v>
      </c>
      <c r="O5" s="75">
        <f ca="1">SUM(OFFSET($H$5,M5-1,0, N5-M5+1))</f>
        <v>571.971</v>
      </c>
      <c r="P5" s="69">
        <f>AVERAGE(INDEX(H$5:H$1012, M5):INDEX(H$5:H$1012, N5))</f>
        <v>27.236714285714285</v>
      </c>
      <c r="Q5" s="70">
        <f>AVERAGE(INDEX(I$5:I$1012, M5):INDEX(I$5:I$1012, N5))</f>
        <v>53978079.047619045</v>
      </c>
    </row>
    <row r="6" spans="1:21" x14ac:dyDescent="0.2">
      <c r="B6" s="62">
        <v>42733</v>
      </c>
      <c r="C6" s="72">
        <v>62.9</v>
      </c>
      <c r="D6" s="71">
        <v>10248460</v>
      </c>
      <c r="E6" s="66" t="s">
        <v>81</v>
      </c>
      <c r="F6" s="16">
        <f t="shared" ref="F6:F69" si="1">COUNT(B6:B1013)</f>
        <v>1007</v>
      </c>
      <c r="G6" s="67" cm="1">
        <f t="array" ref="G6">INDEX($B$5:$B$1012, F6)</f>
        <v>41277</v>
      </c>
      <c r="H6" s="69" cm="1">
        <f t="array" ref="H6">INDEX($C$5:$C$1012, F6)</f>
        <v>27.25</v>
      </c>
      <c r="I6" s="70" cm="1">
        <f t="array" ref="I6">INDEX($D$5:$D$1012, F6)</f>
        <v>48292010</v>
      </c>
      <c r="J6" s="84"/>
      <c r="K6" s="59">
        <f>L5+1</f>
        <v>41306</v>
      </c>
      <c r="L6" s="59">
        <f t="shared" si="0"/>
        <v>41333</v>
      </c>
      <c r="M6" s="68">
        <f>M5+1</f>
        <v>2</v>
      </c>
      <c r="N6" s="16">
        <f>MATCH(L6, $G$5:$G$1012, 1)</f>
        <v>40</v>
      </c>
      <c r="O6" s="75">
        <f ca="1">SUM(OFFSET($H$5, N5, 0, N6-N5))</f>
        <v>526.37300000000005</v>
      </c>
      <c r="P6" s="69">
        <f>AVERAGE(INDEX(H$5:H$1012, N5+1):INDEX(H$5:H$1012, N6))</f>
        <v>27.70384210526316</v>
      </c>
      <c r="Q6" s="70">
        <f>AVERAGE(INDEX(I$5:I$1012, N5+1):INDEX(I$5:I$1012, N6))</f>
        <v>41062564.210526317</v>
      </c>
      <c r="S6" t="s">
        <v>79</v>
      </c>
      <c r="T6" s="73">
        <f>MAX(Q5:Q52)</f>
        <v>66571840.454545453</v>
      </c>
    </row>
    <row r="7" spans="1:21" x14ac:dyDescent="0.2">
      <c r="B7" s="62">
        <v>42732</v>
      </c>
      <c r="C7" s="72">
        <v>62.99</v>
      </c>
      <c r="D7" s="71">
        <v>14348340</v>
      </c>
      <c r="E7" s="66" t="s">
        <v>81</v>
      </c>
      <c r="F7" s="16">
        <f t="shared" si="1"/>
        <v>1006</v>
      </c>
      <c r="G7" s="67" cm="1">
        <f t="array" ref="G7">INDEX($B$5:$B$1012, F7)</f>
        <v>41278</v>
      </c>
      <c r="H7" s="69" cm="1">
        <f t="array" ref="H7">INDEX($C$5:$C$1012, F7)</f>
        <v>26.74</v>
      </c>
      <c r="I7" s="70" cm="1">
        <f t="array" ref="I7">INDEX($D$5:$D$1012, F7)</f>
        <v>52481010</v>
      </c>
      <c r="K7" s="59">
        <f t="shared" ref="K7:K52" si="2">L6+1</f>
        <v>41334</v>
      </c>
      <c r="L7" s="59">
        <f t="shared" si="0"/>
        <v>41364</v>
      </c>
      <c r="M7" s="68">
        <f t="shared" ref="M7:M52" si="3">M6+1</f>
        <v>3</v>
      </c>
      <c r="N7" s="16">
        <f t="shared" ref="N6:N8" si="4">MATCH(L7, $G$5:$G$1012, 1)</f>
        <v>60</v>
      </c>
      <c r="O7" s="75">
        <f ca="1">SUM(OFFSET($H$5, N6, 0, N7-N6))</f>
        <v>562.79000000000008</v>
      </c>
      <c r="P7" s="69">
        <f>AVERAGE(INDEX(H$5:H$1012, N6+1):INDEX(H$5:H$1012, N7))</f>
        <v>28.139500000000005</v>
      </c>
      <c r="Q7" s="70">
        <f>AVERAGE(INDEX(I$5:I$1012, N6+1):INDEX(I$5:I$1012, N7))</f>
        <v>42195602.5</v>
      </c>
      <c r="S7" t="s">
        <v>80</v>
      </c>
      <c r="T7" s="64">
        <f>INDEX(K5:K52, MATCH(T6, Q5:Q52, 0))</f>
        <v>41365</v>
      </c>
    </row>
    <row r="8" spans="1:21" x14ac:dyDescent="0.2">
      <c r="B8" s="62">
        <v>42731</v>
      </c>
      <c r="C8" s="72">
        <v>63.28</v>
      </c>
      <c r="D8" s="71">
        <v>11743650</v>
      </c>
      <c r="E8" s="66" t="s">
        <v>81</v>
      </c>
      <c r="F8" s="16">
        <f t="shared" si="1"/>
        <v>1005</v>
      </c>
      <c r="G8" s="67" cm="1">
        <f t="array" ref="G8">INDEX($B$5:$B$1012, F8)</f>
        <v>41281</v>
      </c>
      <c r="H8" s="69" cm="1">
        <f t="array" ref="H8">INDEX($C$5:$C$1012, F8)</f>
        <v>26.69</v>
      </c>
      <c r="I8" s="70" cm="1">
        <f t="array" ref="I8">INDEX($D$5:$D$1012, F8)</f>
        <v>37088100</v>
      </c>
      <c r="K8" s="59">
        <f t="shared" si="2"/>
        <v>41365</v>
      </c>
      <c r="L8" s="59">
        <f t="shared" si="0"/>
        <v>41394</v>
      </c>
      <c r="M8" s="68">
        <f t="shared" si="3"/>
        <v>4</v>
      </c>
      <c r="N8" s="16">
        <f t="shared" si="4"/>
        <v>82</v>
      </c>
      <c r="O8" s="75">
        <f ca="1">SUM(OFFSET($H$5, N7, 0, N8-N7))</f>
        <v>657.1400000000001</v>
      </c>
      <c r="P8" s="69">
        <f>AVERAGE(INDEX(H$5:H$1012, N7+1):INDEX(H$5:H$1012, N8))</f>
        <v>29.870000000000005</v>
      </c>
      <c r="Q8" s="70">
        <f>AVERAGE(INDEX(I$5:I$1012, N7+1):INDEX(I$5:I$1012, N8))</f>
        <v>66571840.454545453</v>
      </c>
    </row>
    <row r="9" spans="1:21" x14ac:dyDescent="0.2">
      <c r="B9" s="62">
        <v>42727</v>
      </c>
      <c r="C9" s="72">
        <v>63.24</v>
      </c>
      <c r="D9" s="71">
        <v>12399540</v>
      </c>
      <c r="E9" s="66" t="s">
        <v>81</v>
      </c>
      <c r="F9" s="16">
        <f t="shared" si="1"/>
        <v>1004</v>
      </c>
      <c r="G9" s="67" cm="1">
        <f t="array" ref="G9">INDEX($B$5:$B$1012, F9)</f>
        <v>41282</v>
      </c>
      <c r="H9" s="69" cm="1">
        <f t="array" ref="H9">INDEX($C$5:$C$1012, F9)</f>
        <v>26.55</v>
      </c>
      <c r="I9" s="70" cm="1">
        <f t="array" ref="I9">INDEX($D$5:$D$1012, F9)</f>
        <v>44639720</v>
      </c>
      <c r="K9" s="59">
        <f t="shared" si="2"/>
        <v>41395</v>
      </c>
      <c r="L9" s="59">
        <f t="shared" si="0"/>
        <v>41425</v>
      </c>
      <c r="M9" s="68">
        <f t="shared" si="3"/>
        <v>5</v>
      </c>
      <c r="N9" s="16">
        <f t="shared" ref="N7:N52" si="5">MATCH(L9,$G$5:$G$1012,1)</f>
        <v>104</v>
      </c>
      <c r="O9" s="75">
        <f t="shared" ref="O9:O52" ca="1" si="6">SUM(OFFSET($H$5, N8, 0, N9-N8))</f>
        <v>746.91399999999987</v>
      </c>
      <c r="P9" s="69">
        <f>AVERAGE(INDEX(H$5:H$1012, N8+1):INDEX(H$5:H$1012, N9))</f>
        <v>33.950636363636356</v>
      </c>
      <c r="Q9" s="70">
        <f>AVERAGE(INDEX(I$5:I$1012, N8+1):INDEX(I$5:I$1012, N9))</f>
        <v>48704743.18181818</v>
      </c>
      <c r="S9" t="s">
        <v>82</v>
      </c>
      <c r="T9" s="74">
        <f>LARGE(P5:P52, 20)</f>
        <v>45.963636363636368</v>
      </c>
    </row>
    <row r="10" spans="1:21" x14ac:dyDescent="0.2">
      <c r="B10" s="62">
        <v>42726</v>
      </c>
      <c r="C10" s="72">
        <v>63.55</v>
      </c>
      <c r="D10" s="71">
        <v>22175270</v>
      </c>
      <c r="E10" s="66" t="s">
        <v>81</v>
      </c>
      <c r="F10" s="16">
        <f t="shared" si="1"/>
        <v>1003</v>
      </c>
      <c r="G10" s="67" cm="1">
        <f t="array" ref="G10">INDEX($B$5:$B$1012, F10)</f>
        <v>41283</v>
      </c>
      <c r="H10" s="69" cm="1">
        <f t="array" ref="H10">INDEX($C$5:$C$1012, F10)</f>
        <v>26.7</v>
      </c>
      <c r="I10" s="70" cm="1">
        <f t="array" ref="I10">INDEX($D$5:$D$1012, F10)</f>
        <v>38375910</v>
      </c>
      <c r="K10" s="59">
        <f t="shared" si="2"/>
        <v>41426</v>
      </c>
      <c r="L10" s="59">
        <f t="shared" si="0"/>
        <v>41455</v>
      </c>
      <c r="M10" s="68">
        <f t="shared" si="3"/>
        <v>6</v>
      </c>
      <c r="N10" s="16">
        <f t="shared" si="5"/>
        <v>124</v>
      </c>
      <c r="O10" s="75">
        <f t="shared" ca="1" si="6"/>
        <v>692.64</v>
      </c>
      <c r="P10" s="69">
        <f>AVERAGE(INDEX(H$5:H$1012, N9+1):INDEX(H$5:H$1012, N10))</f>
        <v>34.631999999999998</v>
      </c>
      <c r="Q10" s="70">
        <f>AVERAGE(INDEX(I$5:I$1012, N9+1):INDEX(I$5:I$1012, N10))</f>
        <v>47135036.5</v>
      </c>
      <c r="S10" t="s">
        <v>80</v>
      </c>
      <c r="T10" s="64">
        <f>INDEX(K5:K52, MATCH(T9, P5:P52, 0))</f>
        <v>42156</v>
      </c>
    </row>
    <row r="11" spans="1:21" x14ac:dyDescent="0.2">
      <c r="B11" s="62">
        <v>42725</v>
      </c>
      <c r="C11" s="72">
        <v>63.54</v>
      </c>
      <c r="D11" s="71">
        <v>17084370</v>
      </c>
      <c r="E11" s="66" t="s">
        <v>81</v>
      </c>
      <c r="F11" s="16">
        <f t="shared" si="1"/>
        <v>1002</v>
      </c>
      <c r="G11" s="67" cm="1">
        <f t="array" ref="G11">INDEX($B$5:$B$1012, F11)</f>
        <v>41284</v>
      </c>
      <c r="H11" s="69" cm="1">
        <f t="array" ref="H11">INDEX($C$5:$C$1012, F11)</f>
        <v>26.46</v>
      </c>
      <c r="I11" s="70" cm="1">
        <f t="array" ref="I11">INDEX($D$5:$D$1012, F11)</f>
        <v>71400650</v>
      </c>
      <c r="K11" s="59">
        <f t="shared" si="2"/>
        <v>41456</v>
      </c>
      <c r="L11" s="59">
        <f t="shared" si="0"/>
        <v>41486</v>
      </c>
      <c r="M11" s="68">
        <f t="shared" si="3"/>
        <v>7</v>
      </c>
      <c r="N11" s="16">
        <f t="shared" si="5"/>
        <v>146</v>
      </c>
      <c r="O11" s="75">
        <f t="shared" ca="1" si="6"/>
        <v>740.30000000000018</v>
      </c>
      <c r="P11" s="69">
        <f>AVERAGE(INDEX(H$5:H$1012, N10+1):INDEX(H$5:H$1012, N11))</f>
        <v>33.650000000000006</v>
      </c>
      <c r="Q11" s="70">
        <f>AVERAGE(INDEX(I$5:I$1012, N10+1):INDEX(I$5:I$1012, N11))</f>
        <v>50419378.18181818</v>
      </c>
    </row>
    <row r="12" spans="1:21" x14ac:dyDescent="0.2">
      <c r="B12" s="62">
        <v>42724</v>
      </c>
      <c r="C12" s="72">
        <v>63.54</v>
      </c>
      <c r="D12" s="71">
        <v>26017470</v>
      </c>
      <c r="E12" s="66" t="s">
        <v>81</v>
      </c>
      <c r="F12" s="16">
        <f t="shared" si="1"/>
        <v>1001</v>
      </c>
      <c r="G12" s="67" cm="1">
        <f t="array" ref="G12">INDEX($B$5:$B$1012, F12)</f>
        <v>41285</v>
      </c>
      <c r="H12" s="69" cm="1">
        <f t="array" ref="H12">INDEX($C$5:$C$1012, F12)</f>
        <v>26.83</v>
      </c>
      <c r="I12" s="70" cm="1">
        <f t="array" ref="I12">INDEX($D$5:$D$1012, F12)</f>
        <v>55510590</v>
      </c>
      <c r="K12" s="59">
        <f t="shared" si="2"/>
        <v>41487</v>
      </c>
      <c r="L12" s="59">
        <f t="shared" si="0"/>
        <v>41517</v>
      </c>
      <c r="M12" s="68">
        <f t="shared" si="3"/>
        <v>8</v>
      </c>
      <c r="N12" s="16">
        <f t="shared" si="5"/>
        <v>168</v>
      </c>
      <c r="O12" s="75">
        <f t="shared" ca="1" si="6"/>
        <v>714.67599999999993</v>
      </c>
      <c r="P12" s="69">
        <f>AVERAGE(INDEX(H$5:H$1012, N11+1):INDEX(H$5:H$1012, N12))</f>
        <v>32.485272727272722</v>
      </c>
      <c r="Q12" s="70">
        <f>AVERAGE(INDEX(I$5:I$1012, N11+1):INDEX(I$5:I$1012, N12))</f>
        <v>47725600.909090906</v>
      </c>
    </row>
    <row r="13" spans="1:21" x14ac:dyDescent="0.2">
      <c r="B13" s="62">
        <v>42723</v>
      </c>
      <c r="C13" s="72">
        <v>63.62</v>
      </c>
      <c r="D13" s="71">
        <v>34318500</v>
      </c>
      <c r="E13" s="66" t="s">
        <v>81</v>
      </c>
      <c r="F13" s="16">
        <f t="shared" si="1"/>
        <v>1000</v>
      </c>
      <c r="G13" s="67" cm="1">
        <f t="array" ref="G13">INDEX($B$5:$B$1012, F13)</f>
        <v>41288</v>
      </c>
      <c r="H13" s="69" cm="1">
        <f t="array" ref="H13">INDEX($C$5:$C$1012, F13)</f>
        <v>26.89</v>
      </c>
      <c r="I13" s="70" cm="1">
        <f t="array" ref="I13">INDEX($D$5:$D$1012, F13)</f>
        <v>48303430</v>
      </c>
      <c r="K13" s="59">
        <f t="shared" si="2"/>
        <v>41518</v>
      </c>
      <c r="L13" s="59">
        <f t="shared" si="0"/>
        <v>41547</v>
      </c>
      <c r="M13" s="68">
        <f t="shared" si="3"/>
        <v>9</v>
      </c>
      <c r="N13" s="16">
        <f t="shared" si="5"/>
        <v>188</v>
      </c>
      <c r="O13" s="75">
        <f t="shared" ca="1" si="6"/>
        <v>650.46899999999994</v>
      </c>
      <c r="P13" s="69">
        <f>AVERAGE(INDEX(H$5:H$1012, N12+1):INDEX(H$5:H$1012, N13))</f>
        <v>32.523449999999997</v>
      </c>
      <c r="Q13" s="70">
        <f>AVERAGE(INDEX(I$5:I$1012, N12+1):INDEX(I$5:I$1012, N13))</f>
        <v>62170317.5</v>
      </c>
    </row>
    <row r="14" spans="1:21" x14ac:dyDescent="0.2">
      <c r="B14" s="62">
        <v>42720</v>
      </c>
      <c r="C14" s="72">
        <v>62.3</v>
      </c>
      <c r="D14" s="71">
        <v>42452660</v>
      </c>
      <c r="E14" s="66" t="s">
        <v>81</v>
      </c>
      <c r="F14" s="16">
        <f t="shared" si="1"/>
        <v>999</v>
      </c>
      <c r="G14" s="67" cm="1">
        <f t="array" ref="G14">INDEX($B$5:$B$1012, F14)</f>
        <v>41289</v>
      </c>
      <c r="H14" s="69" cm="1">
        <f t="array" ref="H14">INDEX($C$5:$C$1012, F14)</f>
        <v>27.21</v>
      </c>
      <c r="I14" s="70" cm="1">
        <f t="array" ref="I14">INDEX($D$5:$D$1012, F14)</f>
        <v>48224440</v>
      </c>
      <c r="K14" s="59">
        <f t="shared" si="2"/>
        <v>41548</v>
      </c>
      <c r="L14" s="59">
        <f t="shared" si="0"/>
        <v>41578</v>
      </c>
      <c r="M14" s="68">
        <f t="shared" si="3"/>
        <v>10</v>
      </c>
      <c r="N14" s="16">
        <f t="shared" si="5"/>
        <v>211</v>
      </c>
      <c r="O14" s="75">
        <f t="shared" ca="1" si="6"/>
        <v>790.78499999999997</v>
      </c>
      <c r="P14" s="69">
        <f>AVERAGE(INDEX(H$5:H$1012, N13+1):INDEX(H$5:H$1012, N14))</f>
        <v>34.381956521739127</v>
      </c>
      <c r="Q14" s="70">
        <f>AVERAGE(INDEX(I$5:I$1012, N13+1):INDEX(I$5:I$1012, N14))</f>
        <v>41867866.086956523</v>
      </c>
    </row>
    <row r="15" spans="1:21" x14ac:dyDescent="0.2">
      <c r="B15" s="62">
        <v>42719</v>
      </c>
      <c r="C15" s="72">
        <v>62.58</v>
      </c>
      <c r="D15" s="71">
        <v>27661180</v>
      </c>
      <c r="E15" s="66" t="s">
        <v>81</v>
      </c>
      <c r="F15" s="16">
        <f t="shared" si="1"/>
        <v>998</v>
      </c>
      <c r="G15" s="67" cm="1">
        <f t="array" ref="G15">INDEX($B$5:$B$1012, F15)</f>
        <v>41290</v>
      </c>
      <c r="H15" s="69" cm="1">
        <f t="array" ref="H15">INDEX($C$5:$C$1012, F15)</f>
        <v>27.04</v>
      </c>
      <c r="I15" s="70" cm="1">
        <f t="array" ref="I15">INDEX($D$5:$D$1012, F15)</f>
        <v>41062810</v>
      </c>
      <c r="K15" s="59">
        <f t="shared" si="2"/>
        <v>41579</v>
      </c>
      <c r="L15" s="59">
        <f t="shared" si="0"/>
        <v>41608</v>
      </c>
      <c r="M15" s="68">
        <f t="shared" si="3"/>
        <v>11</v>
      </c>
      <c r="N15" s="16">
        <f t="shared" si="5"/>
        <v>231</v>
      </c>
      <c r="O15" s="75">
        <f t="shared" ca="1" si="6"/>
        <v>747.24200000000008</v>
      </c>
      <c r="P15" s="69">
        <f>AVERAGE(INDEX(H$5:H$1012, N14+1):INDEX(H$5:H$1012, N15))</f>
        <v>37.362100000000005</v>
      </c>
      <c r="Q15" s="70">
        <f>AVERAGE(INDEX(I$5:I$1012, N14+1):INDEX(I$5:I$1012, N15))</f>
        <v>40017057.5</v>
      </c>
    </row>
    <row r="16" spans="1:21" x14ac:dyDescent="0.2">
      <c r="B16" s="62">
        <v>42718</v>
      </c>
      <c r="C16" s="72">
        <v>62.68</v>
      </c>
      <c r="D16" s="71">
        <v>30335770</v>
      </c>
      <c r="E16" s="66" t="s">
        <v>81</v>
      </c>
      <c r="F16" s="16">
        <f t="shared" si="1"/>
        <v>997</v>
      </c>
      <c r="G16" s="67" cm="1">
        <f t="array" ref="G16">INDEX($B$5:$B$1012, F16)</f>
        <v>41291</v>
      </c>
      <c r="H16" s="69" cm="1">
        <f t="array" ref="H16">INDEX($C$5:$C$1012, F16)</f>
        <v>27.25</v>
      </c>
      <c r="I16" s="70" cm="1">
        <f t="array" ref="I16">INDEX($D$5:$D$1012, F16)</f>
        <v>51647220</v>
      </c>
      <c r="K16" s="59">
        <f t="shared" si="2"/>
        <v>41609</v>
      </c>
      <c r="L16" s="59">
        <f t="shared" si="0"/>
        <v>41639</v>
      </c>
      <c r="M16" s="68">
        <f t="shared" si="3"/>
        <v>12</v>
      </c>
      <c r="N16" s="16">
        <f t="shared" si="5"/>
        <v>252</v>
      </c>
      <c r="O16" s="75">
        <f t="shared" ca="1" si="6"/>
        <v>786.55999999999983</v>
      </c>
      <c r="P16" s="69">
        <f>AVERAGE(INDEX(H$5:H$1012, N15+1):INDEX(H$5:H$1012, N16))</f>
        <v>37.455238095238087</v>
      </c>
      <c r="Q16" s="70">
        <f>AVERAGE(INDEX(I$5:I$1012, N15+1):INDEX(I$5:I$1012, N16))</f>
        <v>39341189.523809522</v>
      </c>
    </row>
    <row r="17" spans="2:17" x14ac:dyDescent="0.2">
      <c r="B17" s="62">
        <v>42717</v>
      </c>
      <c r="C17" s="72">
        <v>62.98</v>
      </c>
      <c r="D17" s="71">
        <v>35072050</v>
      </c>
      <c r="E17" s="66" t="s">
        <v>81</v>
      </c>
      <c r="F17" s="16">
        <f t="shared" si="1"/>
        <v>996</v>
      </c>
      <c r="G17" s="67" cm="1">
        <f t="array" ref="G17">INDEX($B$5:$B$1012, F17)</f>
        <v>41292</v>
      </c>
      <c r="H17" s="69" cm="1">
        <f t="array" ref="H17">INDEX($C$5:$C$1012, F17)</f>
        <v>27.25</v>
      </c>
      <c r="I17" s="70" cm="1">
        <f t="array" ref="I17">INDEX($D$5:$D$1012, F17)</f>
        <v>52165050</v>
      </c>
      <c r="K17" s="59">
        <f t="shared" si="2"/>
        <v>41640</v>
      </c>
      <c r="L17" s="59">
        <f t="shared" si="0"/>
        <v>41670</v>
      </c>
      <c r="M17" s="68">
        <f t="shared" si="3"/>
        <v>13</v>
      </c>
      <c r="N17" s="16">
        <f t="shared" si="5"/>
        <v>273</v>
      </c>
      <c r="O17" s="75">
        <f t="shared" ca="1" si="6"/>
        <v>763.3499999999998</v>
      </c>
      <c r="P17" s="69">
        <f>AVERAGE(INDEX(H$5:H$1012, N16+1):INDEX(H$5:H$1012, N17))</f>
        <v>36.349999999999987</v>
      </c>
      <c r="Q17" s="70">
        <f>AVERAGE(INDEX(I$5:I$1012, N16+1):INDEX(I$5:I$1012, N17))</f>
        <v>44307830.476190478</v>
      </c>
    </row>
    <row r="18" spans="2:17" x14ac:dyDescent="0.2">
      <c r="B18" s="62">
        <v>42716</v>
      </c>
      <c r="C18" s="72">
        <v>62.17</v>
      </c>
      <c r="D18" s="71">
        <v>20186390</v>
      </c>
      <c r="E18" s="66" t="s">
        <v>81</v>
      </c>
      <c r="F18" s="16">
        <f t="shared" si="1"/>
        <v>995</v>
      </c>
      <c r="G18" s="67" cm="1">
        <f t="array" ref="G18">INDEX($B$5:$B$1012, F18)</f>
        <v>41296</v>
      </c>
      <c r="H18" s="69" cm="1">
        <f t="array" ref="H18">INDEX($C$5:$C$1012, F18)</f>
        <v>27.15</v>
      </c>
      <c r="I18" s="70" cm="1">
        <f t="array" ref="I18">INDEX($D$5:$D$1012, F18)</f>
        <v>58642390</v>
      </c>
      <c r="K18" s="59">
        <f t="shared" si="2"/>
        <v>41671</v>
      </c>
      <c r="L18" s="59">
        <f t="shared" si="0"/>
        <v>41698</v>
      </c>
      <c r="M18" s="68">
        <f t="shared" si="3"/>
        <v>14</v>
      </c>
      <c r="N18" s="16">
        <f t="shared" si="5"/>
        <v>292</v>
      </c>
      <c r="O18" s="75">
        <f t="shared" ca="1" si="6"/>
        <v>707.59500000000003</v>
      </c>
      <c r="P18" s="69">
        <f>AVERAGE(INDEX(H$5:H$1012, N17+1):INDEX(H$5:H$1012, N18))</f>
        <v>37.24184210526316</v>
      </c>
      <c r="Q18" s="70">
        <f>AVERAGE(INDEX(I$5:I$1012, N17+1):INDEX(I$5:I$1012, N18))</f>
        <v>37723183.684210524</v>
      </c>
    </row>
    <row r="19" spans="2:17" x14ac:dyDescent="0.2">
      <c r="B19" s="62">
        <v>42713</v>
      </c>
      <c r="C19" s="72">
        <v>61.97</v>
      </c>
      <c r="D19" s="71">
        <v>27337160</v>
      </c>
      <c r="E19" s="66" t="s">
        <v>81</v>
      </c>
      <c r="F19" s="16">
        <f t="shared" si="1"/>
        <v>994</v>
      </c>
      <c r="G19" s="67" cm="1">
        <f t="array" ref="G19">INDEX($B$5:$B$1012, F19)</f>
        <v>41297</v>
      </c>
      <c r="H19" s="69" cm="1">
        <f t="array" ref="H19">INDEX($C$5:$C$1012, F19)</f>
        <v>27.61</v>
      </c>
      <c r="I19" s="70" cm="1">
        <f t="array" ref="I19">INDEX($D$5:$D$1012, F19)</f>
        <v>50288930</v>
      </c>
      <c r="K19" s="59">
        <f t="shared" si="2"/>
        <v>41699</v>
      </c>
      <c r="L19" s="59">
        <f t="shared" si="0"/>
        <v>41729</v>
      </c>
      <c r="M19" s="68">
        <f t="shared" si="3"/>
        <v>15</v>
      </c>
      <c r="N19" s="16">
        <f t="shared" si="5"/>
        <v>313</v>
      </c>
      <c r="O19" s="75">
        <f t="shared" ca="1" si="6"/>
        <v>818.68999999999994</v>
      </c>
      <c r="P19" s="69">
        <f>AVERAGE(INDEX(H$5:H$1012, N18+1):INDEX(H$5:H$1012, N19))</f>
        <v>38.985238095238095</v>
      </c>
      <c r="Q19" s="70">
        <f>AVERAGE(INDEX(I$5:I$1012, N18+1):INDEX(I$5:I$1012, N19))</f>
        <v>37012033.809523806</v>
      </c>
    </row>
    <row r="20" spans="2:17" x14ac:dyDescent="0.2">
      <c r="B20" s="62">
        <v>42712</v>
      </c>
      <c r="C20" s="72">
        <v>61.01</v>
      </c>
      <c r="D20" s="71">
        <v>21201400</v>
      </c>
      <c r="E20" s="66" t="s">
        <v>81</v>
      </c>
      <c r="F20" s="16">
        <f t="shared" si="1"/>
        <v>993</v>
      </c>
      <c r="G20" s="67" cm="1">
        <f t="array" ref="G20">INDEX($B$5:$B$1012, F20)</f>
        <v>41298</v>
      </c>
      <c r="H20" s="69" cm="1">
        <f t="array" ref="H20">INDEX($C$5:$C$1012, F20)</f>
        <v>27.63</v>
      </c>
      <c r="I20" s="70" cm="1">
        <f t="array" ref="I20">INDEX($D$5:$D$1012, F20)</f>
        <v>101321400</v>
      </c>
      <c r="K20" s="59">
        <f t="shared" si="2"/>
        <v>41730</v>
      </c>
      <c r="L20" s="59">
        <f t="shared" si="0"/>
        <v>41759</v>
      </c>
      <c r="M20" s="68">
        <f t="shared" si="3"/>
        <v>16</v>
      </c>
      <c r="N20" s="16">
        <f t="shared" si="5"/>
        <v>334</v>
      </c>
      <c r="O20" s="75">
        <f t="shared" ca="1" si="6"/>
        <v>842.81899999999996</v>
      </c>
      <c r="P20" s="69">
        <f>AVERAGE(INDEX(H$5:H$1012, N19+1):INDEX(H$5:H$1012, N20))</f>
        <v>40.134238095238096</v>
      </c>
      <c r="Q20" s="70">
        <f>AVERAGE(INDEX(I$5:I$1012, N19+1):INDEX(I$5:I$1012, N20))</f>
        <v>35462657.619047619</v>
      </c>
    </row>
    <row r="21" spans="2:17" x14ac:dyDescent="0.2">
      <c r="B21" s="62">
        <v>42711</v>
      </c>
      <c r="C21" s="72">
        <v>61.37</v>
      </c>
      <c r="D21" s="71">
        <v>30807320</v>
      </c>
      <c r="E21" s="66" t="s">
        <v>81</v>
      </c>
      <c r="F21" s="16">
        <f t="shared" si="1"/>
        <v>992</v>
      </c>
      <c r="G21" s="67" cm="1">
        <f t="array" ref="G21">INDEX($B$5:$B$1012, F21)</f>
        <v>41299</v>
      </c>
      <c r="H21" s="69" cm="1">
        <f t="array" ref="H21">INDEX($C$5:$C$1012, F21)</f>
        <v>27.88</v>
      </c>
      <c r="I21" s="70" cm="1">
        <f t="array" ref="I21">INDEX($D$5:$D$1012, F21)</f>
        <v>81814260</v>
      </c>
      <c r="J21" s="84"/>
      <c r="K21" s="59">
        <f t="shared" si="2"/>
        <v>41760</v>
      </c>
      <c r="L21" s="59">
        <f t="shared" si="0"/>
        <v>41790</v>
      </c>
      <c r="M21" s="68">
        <f t="shared" si="3"/>
        <v>17</v>
      </c>
      <c r="N21" s="16">
        <f t="shared" si="5"/>
        <v>355</v>
      </c>
      <c r="O21" s="75">
        <f t="shared" ca="1" si="6"/>
        <v>838.32500000000005</v>
      </c>
      <c r="P21" s="69">
        <f>AVERAGE(INDEX(H$5:H$1012, N20+1):INDEX(H$5:H$1012, N21))</f>
        <v>39.920238095238098</v>
      </c>
      <c r="Q21" s="70">
        <f>AVERAGE(INDEX(I$5:I$1012, N20+1):INDEX(I$5:I$1012, N21))</f>
        <v>27296229.047619049</v>
      </c>
    </row>
    <row r="22" spans="2:17" x14ac:dyDescent="0.2">
      <c r="B22" s="62">
        <v>42710</v>
      </c>
      <c r="C22" s="72">
        <v>59.95</v>
      </c>
      <c r="D22" s="71">
        <v>19966340</v>
      </c>
      <c r="E22" s="66" t="s">
        <v>81</v>
      </c>
      <c r="F22" s="16">
        <f t="shared" si="1"/>
        <v>991</v>
      </c>
      <c r="G22" s="67" cm="1">
        <f t="array" ref="G22">INDEX($B$5:$B$1012, F22)</f>
        <v>41302</v>
      </c>
      <c r="H22" s="69" cm="1">
        <f t="array" ref="H22">INDEX($C$5:$C$1012, F22)</f>
        <v>27.911000000000001</v>
      </c>
      <c r="I22" s="70" cm="1">
        <f t="array" ref="I22">INDEX($D$5:$D$1012, F22)</f>
        <v>56054570</v>
      </c>
      <c r="K22" s="59">
        <f t="shared" si="2"/>
        <v>41791</v>
      </c>
      <c r="L22" s="59">
        <f t="shared" si="0"/>
        <v>41820</v>
      </c>
      <c r="M22" s="68">
        <f t="shared" si="3"/>
        <v>18</v>
      </c>
      <c r="N22" s="16">
        <f t="shared" si="5"/>
        <v>376</v>
      </c>
      <c r="O22" s="75">
        <f t="shared" ca="1" si="6"/>
        <v>868.59500000000003</v>
      </c>
      <c r="P22" s="69">
        <f>AVERAGE(INDEX(H$5:H$1012, N21+1):INDEX(H$5:H$1012, N22))</f>
        <v>41.361666666666665</v>
      </c>
      <c r="Q22" s="70">
        <f>AVERAGE(INDEX(I$5:I$1012, N21+1):INDEX(I$5:I$1012, N22))</f>
        <v>26222655.238095239</v>
      </c>
    </row>
    <row r="23" spans="2:17" x14ac:dyDescent="0.2">
      <c r="B23" s="62">
        <v>42709</v>
      </c>
      <c r="C23" s="72">
        <v>60.22</v>
      </c>
      <c r="D23" s="71">
        <v>23552030</v>
      </c>
      <c r="E23" s="66" t="s">
        <v>81</v>
      </c>
      <c r="F23" s="16">
        <f t="shared" si="1"/>
        <v>990</v>
      </c>
      <c r="G23" s="67" cm="1">
        <f t="array" ref="G23">INDEX($B$5:$B$1012, F23)</f>
        <v>41303</v>
      </c>
      <c r="H23" s="69" cm="1">
        <f t="array" ref="H23">INDEX($C$5:$C$1012, F23)</f>
        <v>28.01</v>
      </c>
      <c r="I23" s="70" cm="1">
        <f t="array" ref="I23">INDEX($D$5:$D$1012, F23)</f>
        <v>49234080</v>
      </c>
      <c r="K23" s="59">
        <f t="shared" si="2"/>
        <v>41821</v>
      </c>
      <c r="L23" s="59">
        <f t="shared" si="0"/>
        <v>41851</v>
      </c>
      <c r="M23" s="68">
        <f t="shared" si="3"/>
        <v>19</v>
      </c>
      <c r="N23" s="16">
        <f t="shared" si="5"/>
        <v>398</v>
      </c>
      <c r="O23" s="75">
        <f t="shared" ca="1" si="6"/>
        <v>950.70349999999996</v>
      </c>
      <c r="P23" s="69">
        <f>AVERAGE(INDEX(H$5:H$1012, N22+1):INDEX(H$5:H$1012, N23))</f>
        <v>43.213795454545455</v>
      </c>
      <c r="Q23" s="70">
        <f>AVERAGE(INDEX(I$5:I$1012, N22+1):INDEX(I$5:I$1012, N23))</f>
        <v>33215792.272727273</v>
      </c>
    </row>
    <row r="24" spans="2:17" x14ac:dyDescent="0.2">
      <c r="B24" s="62">
        <v>42706</v>
      </c>
      <c r="C24" s="72">
        <v>59.25</v>
      </c>
      <c r="D24" s="71">
        <v>25464230</v>
      </c>
      <c r="E24" s="66" t="s">
        <v>81</v>
      </c>
      <c r="F24" s="16">
        <f t="shared" si="1"/>
        <v>989</v>
      </c>
      <c r="G24" s="67" cm="1">
        <f t="array" ref="G24">INDEX($B$5:$B$1012, F24)</f>
        <v>41304</v>
      </c>
      <c r="H24" s="69" cm="1">
        <f t="array" ref="H24">INDEX($C$5:$C$1012, F24)</f>
        <v>27.85</v>
      </c>
      <c r="I24" s="70" cm="1">
        <f t="array" ref="I24">INDEX($D$5:$D$1012, F24)</f>
        <v>43571210</v>
      </c>
      <c r="K24" s="59">
        <f t="shared" si="2"/>
        <v>41852</v>
      </c>
      <c r="L24" s="59">
        <f t="shared" si="0"/>
        <v>41882</v>
      </c>
      <c r="M24" s="68">
        <f t="shared" si="3"/>
        <v>20</v>
      </c>
      <c r="N24" s="16">
        <f t="shared" si="5"/>
        <v>419</v>
      </c>
      <c r="O24" s="75">
        <f t="shared" ca="1" si="6"/>
        <v>929.45499999999993</v>
      </c>
      <c r="P24" s="69">
        <f>AVERAGE(INDEX(H$5:H$1012, N23+1):INDEX(H$5:H$1012, N24))</f>
        <v>44.259761904761902</v>
      </c>
      <c r="Q24" s="70">
        <f>AVERAGE(INDEX(I$5:I$1012, N23+1):INDEX(I$5:I$1012, N24))</f>
        <v>24392490.952380951</v>
      </c>
    </row>
    <row r="25" spans="2:17" x14ac:dyDescent="0.2">
      <c r="B25" s="62">
        <v>42705</v>
      </c>
      <c r="C25" s="72">
        <v>59.2</v>
      </c>
      <c r="D25" s="71">
        <v>34518030</v>
      </c>
      <c r="E25" s="66" t="s">
        <v>81</v>
      </c>
      <c r="F25" s="16">
        <f t="shared" si="1"/>
        <v>988</v>
      </c>
      <c r="G25" s="67" cm="1">
        <f t="array" ref="G25">INDEX($B$5:$B$1012, F25)</f>
        <v>41305</v>
      </c>
      <c r="H25" s="69" cm="1">
        <f t="array" ref="H25">INDEX($C$5:$C$1012, F25)</f>
        <v>27.45</v>
      </c>
      <c r="I25" s="70" cm="1">
        <f t="array" ref="I25">INDEX($D$5:$D$1012, F25)</f>
        <v>50524770</v>
      </c>
      <c r="K25" s="59">
        <f t="shared" si="2"/>
        <v>41883</v>
      </c>
      <c r="L25" s="59">
        <f t="shared" si="0"/>
        <v>41912</v>
      </c>
      <c r="M25" s="68">
        <f t="shared" si="3"/>
        <v>21</v>
      </c>
      <c r="N25" s="16">
        <f t="shared" si="5"/>
        <v>440</v>
      </c>
      <c r="O25" s="75">
        <f t="shared" ca="1" si="6"/>
        <v>974.65499999999986</v>
      </c>
      <c r="P25" s="69">
        <f>AVERAGE(INDEX(H$5:H$1012, N24+1):INDEX(H$5:H$1012, N25))</f>
        <v>46.412142857142854</v>
      </c>
      <c r="Q25" s="70">
        <f>AVERAGE(INDEX(I$5:I$1012, N24+1):INDEX(I$5:I$1012, N25))</f>
        <v>40943937.619047619</v>
      </c>
    </row>
    <row r="26" spans="2:17" x14ac:dyDescent="0.2">
      <c r="B26" s="62">
        <v>42704</v>
      </c>
      <c r="C26" s="72">
        <v>60.26</v>
      </c>
      <c r="D26" s="71">
        <v>34641520</v>
      </c>
      <c r="E26" s="66" t="s">
        <v>81</v>
      </c>
      <c r="F26" s="16">
        <f t="shared" si="1"/>
        <v>987</v>
      </c>
      <c r="G26" s="67" cm="1">
        <f t="array" ref="G26">INDEX($B$5:$B$1012, F26)</f>
        <v>41306</v>
      </c>
      <c r="H26" s="69" cm="1">
        <f t="array" ref="H26">INDEX($C$5:$C$1012, F26)</f>
        <v>27.93</v>
      </c>
      <c r="I26" s="70" cm="1">
        <f t="array" ref="I26">INDEX($D$5:$D$1012, F26)</f>
        <v>55548860</v>
      </c>
      <c r="J26" s="84"/>
      <c r="K26" s="59">
        <f t="shared" si="2"/>
        <v>41913</v>
      </c>
      <c r="L26" s="59">
        <f t="shared" si="0"/>
        <v>41943</v>
      </c>
      <c r="M26" s="68">
        <f t="shared" si="3"/>
        <v>22</v>
      </c>
      <c r="N26" s="16">
        <f t="shared" si="5"/>
        <v>463</v>
      </c>
      <c r="O26" s="75">
        <f t="shared" ca="1" si="6"/>
        <v>1039.51</v>
      </c>
      <c r="P26" s="69">
        <f>AVERAGE(INDEX(H$5:H$1012, N25+1):INDEX(H$5:H$1012, N26))</f>
        <v>45.196086956521739</v>
      </c>
      <c r="Q26" s="70">
        <f>AVERAGE(INDEX(I$5:I$1012, N25+1):INDEX(I$5:I$1012, N26))</f>
        <v>36990671.739130437</v>
      </c>
    </row>
    <row r="27" spans="2:17" x14ac:dyDescent="0.2">
      <c r="B27" s="62">
        <v>42703</v>
      </c>
      <c r="C27" s="72">
        <v>61.09</v>
      </c>
      <c r="D27" s="71">
        <v>22365860</v>
      </c>
      <c r="E27" s="66" t="s">
        <v>81</v>
      </c>
      <c r="F27" s="16">
        <f t="shared" si="1"/>
        <v>986</v>
      </c>
      <c r="G27" s="67" cm="1">
        <f t="array" ref="G27">INDEX($B$5:$B$1012, F27)</f>
        <v>41309</v>
      </c>
      <c r="H27" s="69" cm="1">
        <f t="array" ref="H27">INDEX($C$5:$C$1012, F27)</f>
        <v>27.44</v>
      </c>
      <c r="I27" s="70" cm="1">
        <f t="array" ref="I27">INDEX($D$5:$D$1012, F27)</f>
        <v>50508670</v>
      </c>
      <c r="K27" s="59">
        <f t="shared" si="2"/>
        <v>41944</v>
      </c>
      <c r="L27" s="59">
        <f t="shared" si="0"/>
        <v>41973</v>
      </c>
      <c r="M27" s="68">
        <f t="shared" si="3"/>
        <v>23</v>
      </c>
      <c r="N27" s="16">
        <f t="shared" si="5"/>
        <v>482</v>
      </c>
      <c r="O27" s="75">
        <f t="shared" ca="1" si="6"/>
        <v>919.7</v>
      </c>
      <c r="P27" s="69">
        <f>AVERAGE(INDEX(H$5:H$1012, N26+1):INDEX(H$5:H$1012, N27))</f>
        <v>48.405263157894737</v>
      </c>
      <c r="Q27" s="70">
        <f>AVERAGE(INDEX(I$5:I$1012, N26+1):INDEX(I$5:I$1012, N27))</f>
        <v>27371939.47368421</v>
      </c>
    </row>
    <row r="28" spans="2:17" x14ac:dyDescent="0.2">
      <c r="B28" s="62">
        <v>42702</v>
      </c>
      <c r="C28" s="72">
        <v>60.61</v>
      </c>
      <c r="D28" s="71">
        <v>20604370</v>
      </c>
      <c r="E28" s="66" t="s">
        <v>81</v>
      </c>
      <c r="F28" s="16">
        <f t="shared" si="1"/>
        <v>985</v>
      </c>
      <c r="G28" s="67" cm="1">
        <f t="array" ref="G28">INDEX($B$5:$B$1012, F28)</f>
        <v>41310</v>
      </c>
      <c r="H28" s="69" cm="1">
        <f t="array" ref="H28">INDEX($C$5:$C$1012, F28)</f>
        <v>27.495000000000001</v>
      </c>
      <c r="I28" s="70" cm="1">
        <f t="array" ref="I28">INDEX($D$5:$D$1012, F28)</f>
        <v>35367310</v>
      </c>
      <c r="K28" s="59">
        <f t="shared" si="2"/>
        <v>41974</v>
      </c>
      <c r="L28" s="59">
        <f t="shared" si="0"/>
        <v>42004</v>
      </c>
      <c r="M28" s="68">
        <f t="shared" si="3"/>
        <v>24</v>
      </c>
      <c r="N28" s="16">
        <f t="shared" si="5"/>
        <v>504</v>
      </c>
      <c r="O28" s="75">
        <f t="shared" ca="1" si="6"/>
        <v>1044.845</v>
      </c>
      <c r="P28" s="69">
        <f>AVERAGE(INDEX(H$5:H$1012, N27+1):INDEX(H$5:H$1012, N28))</f>
        <v>47.492954545454545</v>
      </c>
      <c r="Q28" s="70">
        <f>AVERAGE(INDEX(I$5:I$1012, N27+1):INDEX(I$5:I$1012, N28))</f>
        <v>28444909.545454547</v>
      </c>
    </row>
    <row r="29" spans="2:17" x14ac:dyDescent="0.2">
      <c r="B29" s="62">
        <v>42699</v>
      </c>
      <c r="C29" s="72">
        <v>60.53</v>
      </c>
      <c r="D29" s="71">
        <v>8409616</v>
      </c>
      <c r="E29" s="66" t="s">
        <v>81</v>
      </c>
      <c r="F29" s="16">
        <f t="shared" si="1"/>
        <v>984</v>
      </c>
      <c r="G29" s="67" cm="1">
        <f t="array" ref="G29">INDEX($B$5:$B$1012, F29)</f>
        <v>41311</v>
      </c>
      <c r="H29" s="69" cm="1">
        <f t="array" ref="H29">INDEX($C$5:$C$1012, F29)</f>
        <v>27.34</v>
      </c>
      <c r="I29" s="70" cm="1">
        <f t="array" ref="I29">INDEX($D$5:$D$1012, F29)</f>
        <v>41750840</v>
      </c>
      <c r="K29" s="59">
        <f t="shared" si="2"/>
        <v>42005</v>
      </c>
      <c r="L29" s="59">
        <f t="shared" si="0"/>
        <v>42035</v>
      </c>
      <c r="M29" s="68">
        <f t="shared" si="3"/>
        <v>25</v>
      </c>
      <c r="N29" s="16">
        <f t="shared" si="5"/>
        <v>524</v>
      </c>
      <c r="O29" s="75">
        <f t="shared" ca="1" si="6"/>
        <v>910.26499999999999</v>
      </c>
      <c r="P29" s="69">
        <f>AVERAGE(INDEX(H$5:H$1012, N28+1):INDEX(H$5:H$1012, N29))</f>
        <v>45.513249999999999</v>
      </c>
      <c r="Q29" s="70">
        <f>AVERAGE(INDEX(I$5:I$1012, N28+1):INDEX(I$5:I$1012, N29))</f>
        <v>45748204</v>
      </c>
    </row>
    <row r="30" spans="2:17" x14ac:dyDescent="0.2">
      <c r="B30" s="62">
        <v>42697</v>
      </c>
      <c r="C30" s="72">
        <v>60.4</v>
      </c>
      <c r="D30" s="71">
        <v>21847500</v>
      </c>
      <c r="E30" s="66" t="s">
        <v>81</v>
      </c>
      <c r="F30" s="16">
        <f t="shared" si="1"/>
        <v>983</v>
      </c>
      <c r="G30" s="67" cm="1">
        <f t="array" ref="G30">INDEX($B$5:$B$1012, F30)</f>
        <v>41312</v>
      </c>
      <c r="H30" s="69" cm="1">
        <f t="array" ref="H30">INDEX($C$5:$C$1012, F30)</f>
        <v>27.283000000000001</v>
      </c>
      <c r="I30" s="70" cm="1">
        <f t="array" ref="I30">INDEX($D$5:$D$1012, F30)</f>
        <v>38007050</v>
      </c>
      <c r="K30" s="59">
        <f t="shared" si="2"/>
        <v>42036</v>
      </c>
      <c r="L30" s="59">
        <f t="shared" si="0"/>
        <v>42063</v>
      </c>
      <c r="M30" s="68">
        <f t="shared" si="3"/>
        <v>26</v>
      </c>
      <c r="N30" s="16">
        <f t="shared" si="5"/>
        <v>543</v>
      </c>
      <c r="O30" s="75">
        <f t="shared" ca="1" si="6"/>
        <v>818.48</v>
      </c>
      <c r="P30" s="69">
        <f>AVERAGE(INDEX(H$5:H$1012, N29+1):INDEX(H$5:H$1012, N30))</f>
        <v>43.077894736842104</v>
      </c>
      <c r="Q30" s="70">
        <f>AVERAGE(INDEX(I$5:I$1012, N29+1):INDEX(I$5:I$1012, N30))</f>
        <v>34194246.315789476</v>
      </c>
    </row>
    <row r="31" spans="2:17" x14ac:dyDescent="0.2">
      <c r="B31" s="62">
        <v>42696</v>
      </c>
      <c r="C31" s="72">
        <v>61.12</v>
      </c>
      <c r="D31" s="71">
        <v>23205870</v>
      </c>
      <c r="E31" s="66" t="s">
        <v>81</v>
      </c>
      <c r="F31" s="16">
        <f t="shared" si="1"/>
        <v>982</v>
      </c>
      <c r="G31" s="67" cm="1">
        <f t="array" ref="G31">INDEX($B$5:$B$1012, F31)</f>
        <v>41313</v>
      </c>
      <c r="H31" s="69" cm="1">
        <f t="array" ref="H31">INDEX($C$5:$C$1012, F31)</f>
        <v>27.55</v>
      </c>
      <c r="I31" s="70" cm="1">
        <f t="array" ref="I31">INDEX($D$5:$D$1012, F31)</f>
        <v>33318310</v>
      </c>
      <c r="K31" s="59">
        <f t="shared" si="2"/>
        <v>42064</v>
      </c>
      <c r="L31" s="59">
        <f t="shared" si="0"/>
        <v>42094</v>
      </c>
      <c r="M31" s="68">
        <f t="shared" si="3"/>
        <v>27</v>
      </c>
      <c r="N31" s="16">
        <f t="shared" si="5"/>
        <v>565</v>
      </c>
      <c r="O31" s="75">
        <f t="shared" ca="1" si="6"/>
        <v>926.87500000000011</v>
      </c>
      <c r="P31" s="69">
        <f>AVERAGE(INDEX(H$5:H$1012, N30+1):INDEX(H$5:H$1012, N31))</f>
        <v>42.13068181818182</v>
      </c>
      <c r="Q31" s="70">
        <f>AVERAGE(INDEX(I$5:I$1012, N30+1):INDEX(I$5:I$1012, N31))</f>
        <v>37413197.727272727</v>
      </c>
    </row>
    <row r="32" spans="2:17" x14ac:dyDescent="0.2">
      <c r="B32" s="62">
        <v>42695</v>
      </c>
      <c r="C32" s="72">
        <v>60.86</v>
      </c>
      <c r="D32" s="71">
        <v>19638240</v>
      </c>
      <c r="E32" s="66" t="s">
        <v>81</v>
      </c>
      <c r="F32" s="16">
        <f t="shared" si="1"/>
        <v>981</v>
      </c>
      <c r="G32" s="67" cm="1">
        <f t="array" ref="G32">INDEX($B$5:$B$1012, F32)</f>
        <v>41316</v>
      </c>
      <c r="H32" s="69" cm="1">
        <f t="array" ref="H32">INDEX($C$5:$C$1012, F32)</f>
        <v>27.86</v>
      </c>
      <c r="I32" s="70" cm="1">
        <f t="array" ref="I32">INDEX($D$5:$D$1012, F32)</f>
        <v>32247360</v>
      </c>
      <c r="K32" s="59">
        <f t="shared" si="2"/>
        <v>42095</v>
      </c>
      <c r="L32" s="59">
        <f t="shared" si="0"/>
        <v>42124</v>
      </c>
      <c r="M32" s="68">
        <f t="shared" si="3"/>
        <v>28</v>
      </c>
      <c r="N32" s="16">
        <f t="shared" si="5"/>
        <v>586</v>
      </c>
      <c r="O32" s="75">
        <f t="shared" ca="1" si="6"/>
        <v>912.76499999999999</v>
      </c>
      <c r="P32" s="69">
        <f>AVERAGE(INDEX(H$5:H$1012, N31+1):INDEX(H$5:H$1012, N32))</f>
        <v>43.464999999999996</v>
      </c>
      <c r="Q32" s="70">
        <f>AVERAGE(INDEX(I$5:I$1012, N31+1):INDEX(I$5:I$1012, N32))</f>
        <v>41464352.380952381</v>
      </c>
    </row>
    <row r="33" spans="2:17" x14ac:dyDescent="0.2">
      <c r="B33" s="62">
        <v>42692</v>
      </c>
      <c r="C33" s="72">
        <v>60.35</v>
      </c>
      <c r="D33" s="71">
        <v>27210170</v>
      </c>
      <c r="E33" s="66" t="s">
        <v>81</v>
      </c>
      <c r="F33" s="16">
        <f t="shared" si="1"/>
        <v>980</v>
      </c>
      <c r="G33" s="67" cm="1">
        <f t="array" ref="G33">INDEX($B$5:$B$1012, F33)</f>
        <v>41317</v>
      </c>
      <c r="H33" s="69" cm="1">
        <f t="array" ref="H33">INDEX($C$5:$C$1012, F33)</f>
        <v>27.88</v>
      </c>
      <c r="I33" s="70" cm="1">
        <f t="array" ref="I33">INDEX($D$5:$D$1012, F33)</f>
        <v>35989330</v>
      </c>
      <c r="K33" s="59">
        <f t="shared" si="2"/>
        <v>42125</v>
      </c>
      <c r="L33" s="59">
        <f t="shared" si="0"/>
        <v>42155</v>
      </c>
      <c r="M33" s="68">
        <f t="shared" si="3"/>
        <v>29</v>
      </c>
      <c r="N33" s="16">
        <f t="shared" si="5"/>
        <v>606</v>
      </c>
      <c r="O33" s="75">
        <f t="shared" ca="1" si="6"/>
        <v>950.58500000000015</v>
      </c>
      <c r="P33" s="69">
        <f>AVERAGE(INDEX(H$5:H$1012, N32+1):INDEX(H$5:H$1012, N33))</f>
        <v>47.529250000000005</v>
      </c>
      <c r="Q33" s="70">
        <f>AVERAGE(INDEX(I$5:I$1012, N32+1):INDEX(I$5:I$1012, N33))</f>
        <v>31470443.5</v>
      </c>
    </row>
    <row r="34" spans="2:17" x14ac:dyDescent="0.2">
      <c r="B34" s="62">
        <v>42691</v>
      </c>
      <c r="C34" s="72">
        <v>60.64</v>
      </c>
      <c r="D34" s="71">
        <v>32084890</v>
      </c>
      <c r="E34" s="66" t="s">
        <v>81</v>
      </c>
      <c r="F34" s="16">
        <f t="shared" si="1"/>
        <v>979</v>
      </c>
      <c r="G34" s="67" cm="1">
        <f t="array" ref="G34">INDEX($B$5:$B$1012, F34)</f>
        <v>41318</v>
      </c>
      <c r="H34" s="69" cm="1">
        <f t="array" ref="H34">INDEX($C$5:$C$1012, F34)</f>
        <v>28.03</v>
      </c>
      <c r="I34" s="70" cm="1">
        <f t="array" ref="I34">INDEX($D$5:$D$1012, F34)</f>
        <v>41714330</v>
      </c>
      <c r="K34" s="59">
        <f t="shared" si="2"/>
        <v>42156</v>
      </c>
      <c r="L34" s="59">
        <f t="shared" si="0"/>
        <v>42185</v>
      </c>
      <c r="M34" s="68">
        <f t="shared" si="3"/>
        <v>30</v>
      </c>
      <c r="N34" s="16">
        <f t="shared" si="5"/>
        <v>628</v>
      </c>
      <c r="O34" s="75">
        <f t="shared" ca="1" si="6"/>
        <v>1011.2</v>
      </c>
      <c r="P34" s="69">
        <f>AVERAGE(INDEX(H$5:H$1012, N33+1):INDEX(H$5:H$1012, N34))</f>
        <v>45.963636363636368</v>
      </c>
      <c r="Q34" s="70">
        <f>AVERAGE(INDEX(I$5:I$1012, N33+1):INDEX(I$5:I$1012, N34))</f>
        <v>30163302.272727273</v>
      </c>
    </row>
    <row r="35" spans="2:17" x14ac:dyDescent="0.2">
      <c r="B35" s="62">
        <v>42690</v>
      </c>
      <c r="C35" s="72">
        <v>59.65</v>
      </c>
      <c r="D35" s="71">
        <v>27329530</v>
      </c>
      <c r="E35" s="66" t="s">
        <v>81</v>
      </c>
      <c r="F35" s="16">
        <f t="shared" si="1"/>
        <v>978</v>
      </c>
      <c r="G35" s="67" cm="1">
        <f t="array" ref="G35">INDEX($B$5:$B$1012, F35)</f>
        <v>41319</v>
      </c>
      <c r="H35" s="69" cm="1">
        <f t="array" ref="H35">INDEX($C$5:$C$1012, F35)</f>
        <v>28.04</v>
      </c>
      <c r="I35" s="70" cm="1">
        <f t="array" ref="I35">INDEX($D$5:$D$1012, F35)</f>
        <v>32663010</v>
      </c>
      <c r="K35" s="59">
        <f t="shared" si="2"/>
        <v>42186</v>
      </c>
      <c r="L35" s="59">
        <f t="shared" si="0"/>
        <v>42216</v>
      </c>
      <c r="M35" s="68">
        <f t="shared" si="3"/>
        <v>31</v>
      </c>
      <c r="N35" s="16">
        <f>MATCH(L35,$G$5:$G$1012,1)</f>
        <v>650</v>
      </c>
      <c r="O35" s="75">
        <f t="shared" ca="1" si="6"/>
        <v>1003.455</v>
      </c>
      <c r="P35" s="69">
        <f>AVERAGE(INDEX(H$5:H$1012, N34+1):INDEX(H$5:H$1012, N35))</f>
        <v>45.611590909090914</v>
      </c>
      <c r="Q35" s="70">
        <f>AVERAGE(INDEX(I$5:I$1012, N34+1):INDEX(I$5:I$1012, N35))</f>
        <v>32893404.545454547</v>
      </c>
    </row>
    <row r="36" spans="2:17" x14ac:dyDescent="0.2">
      <c r="B36" s="62">
        <v>42689</v>
      </c>
      <c r="C36" s="72">
        <v>58.87</v>
      </c>
      <c r="D36" s="71">
        <v>35850360</v>
      </c>
      <c r="E36" s="66" t="s">
        <v>81</v>
      </c>
      <c r="F36" s="16">
        <f t="shared" si="1"/>
        <v>977</v>
      </c>
      <c r="G36" s="67" cm="1">
        <f t="array" ref="G36">INDEX($B$5:$B$1012, F36)</f>
        <v>41320</v>
      </c>
      <c r="H36" s="69" cm="1">
        <f t="array" ref="H36">INDEX($C$5:$C$1012, F36)</f>
        <v>28.01</v>
      </c>
      <c r="I36" s="70" cm="1">
        <f t="array" ref="I36">INDEX($D$5:$D$1012, F36)</f>
        <v>49591860</v>
      </c>
      <c r="K36" s="59">
        <f t="shared" si="2"/>
        <v>42217</v>
      </c>
      <c r="L36" s="59">
        <f t="shared" si="0"/>
        <v>42247</v>
      </c>
      <c r="M36" s="68">
        <f t="shared" si="3"/>
        <v>32</v>
      </c>
      <c r="N36" s="16">
        <f t="shared" si="5"/>
        <v>671</v>
      </c>
      <c r="O36" s="75">
        <f t="shared" ca="1" si="6"/>
        <v>955.64</v>
      </c>
      <c r="P36" s="69">
        <f>AVERAGE(INDEX(H$5:H$1012, N35+1):INDEX(H$5:H$1012, N36))</f>
        <v>45.506666666666668</v>
      </c>
      <c r="Q36" s="70">
        <f>AVERAGE(INDEX(I$5:I$1012, N35+1):INDEX(I$5:I$1012, N36))</f>
        <v>36855504.285714284</v>
      </c>
    </row>
    <row r="37" spans="2:17" x14ac:dyDescent="0.2">
      <c r="B37" s="62">
        <v>42688</v>
      </c>
      <c r="C37" s="72">
        <v>58.12</v>
      </c>
      <c r="D37" s="71">
        <v>41248640</v>
      </c>
      <c r="E37" s="66" t="s">
        <v>81</v>
      </c>
      <c r="F37" s="16">
        <f t="shared" si="1"/>
        <v>976</v>
      </c>
      <c r="G37" s="67" cm="1">
        <f t="array" ref="G37">INDEX($B$5:$B$1012, F37)</f>
        <v>41324</v>
      </c>
      <c r="H37" s="69" cm="1">
        <f t="array" ref="H37">INDEX($C$5:$C$1012, F37)</f>
        <v>28.045000000000002</v>
      </c>
      <c r="I37" s="70" cm="1">
        <f t="array" ref="I37">INDEX($D$5:$D$1012, F37)</f>
        <v>38803920</v>
      </c>
      <c r="K37" s="59">
        <f t="shared" si="2"/>
        <v>42248</v>
      </c>
      <c r="L37" s="59">
        <f t="shared" si="0"/>
        <v>42277</v>
      </c>
      <c r="M37" s="68">
        <f t="shared" si="3"/>
        <v>33</v>
      </c>
      <c r="N37" s="16">
        <f t="shared" si="5"/>
        <v>692</v>
      </c>
      <c r="O37" s="75">
        <f t="shared" ca="1" si="6"/>
        <v>914.79000000000019</v>
      </c>
      <c r="P37" s="69">
        <f>AVERAGE(INDEX(H$5:H$1012, N36+1):INDEX(H$5:H$1012, N37))</f>
        <v>43.561428571428578</v>
      </c>
      <c r="Q37" s="70">
        <f>AVERAGE(INDEX(I$5:I$1012, N36+1):INDEX(I$5:I$1012, N37))</f>
        <v>31835702.380952381</v>
      </c>
    </row>
    <row r="38" spans="2:17" x14ac:dyDescent="0.2">
      <c r="B38" s="62">
        <v>42685</v>
      </c>
      <c r="C38" s="72">
        <v>59.02</v>
      </c>
      <c r="D38" s="71">
        <v>35932400</v>
      </c>
      <c r="E38" s="66" t="s">
        <v>81</v>
      </c>
      <c r="F38" s="16">
        <f t="shared" si="1"/>
        <v>975</v>
      </c>
      <c r="G38" s="67" cm="1">
        <f t="array" ref="G38">INDEX($B$5:$B$1012, F38)</f>
        <v>41325</v>
      </c>
      <c r="H38" s="69" cm="1">
        <f t="array" ref="H38">INDEX($C$5:$C$1012, F38)</f>
        <v>27.87</v>
      </c>
      <c r="I38" s="70" cm="1">
        <f t="array" ref="I38">INDEX($D$5:$D$1012, F38)</f>
        <v>44100870</v>
      </c>
      <c r="K38" s="59">
        <f t="shared" si="2"/>
        <v>42278</v>
      </c>
      <c r="L38" s="59">
        <f t="shared" si="0"/>
        <v>42308</v>
      </c>
      <c r="M38" s="68">
        <f t="shared" si="3"/>
        <v>34</v>
      </c>
      <c r="N38" s="16">
        <f t="shared" si="5"/>
        <v>714</v>
      </c>
      <c r="O38" s="75">
        <f t="shared" ca="1" si="6"/>
        <v>1071.42</v>
      </c>
      <c r="P38" s="69">
        <f>AVERAGE(INDEX(H$5:H$1012, N37+1):INDEX(H$5:H$1012, N38))</f>
        <v>48.700909090909093</v>
      </c>
      <c r="Q38" s="70">
        <f>AVERAGE(INDEX(I$5:I$1012, N37+1):INDEX(I$5:I$1012, N38))</f>
        <v>38837702.272727273</v>
      </c>
    </row>
    <row r="39" spans="2:17" x14ac:dyDescent="0.2">
      <c r="B39" s="62">
        <v>42684</v>
      </c>
      <c r="C39" s="72">
        <v>58.7</v>
      </c>
      <c r="D39" s="71">
        <v>57770560</v>
      </c>
      <c r="E39" s="66" t="s">
        <v>81</v>
      </c>
      <c r="F39" s="16">
        <f t="shared" si="1"/>
        <v>974</v>
      </c>
      <c r="G39" s="67" cm="1">
        <f t="array" ref="G39">INDEX($B$5:$B$1012, F39)</f>
        <v>41326</v>
      </c>
      <c r="H39" s="69" cm="1">
        <f t="array" ref="H39">INDEX($C$5:$C$1012, F39)</f>
        <v>27.49</v>
      </c>
      <c r="I39" s="70" cm="1">
        <f t="array" ref="I39">INDEX($D$5:$D$1012, F39)</f>
        <v>49023360</v>
      </c>
      <c r="K39" s="59">
        <f t="shared" si="2"/>
        <v>42309</v>
      </c>
      <c r="L39" s="59">
        <f t="shared" si="0"/>
        <v>42338</v>
      </c>
      <c r="M39" s="68">
        <f t="shared" si="3"/>
        <v>35</v>
      </c>
      <c r="N39" s="16">
        <f t="shared" si="5"/>
        <v>734</v>
      </c>
      <c r="O39" s="75">
        <f t="shared" ca="1" si="6"/>
        <v>1077.6950000000002</v>
      </c>
      <c r="P39" s="69">
        <f>AVERAGE(INDEX(H$5:H$1012, N38+1):INDEX(H$5:H$1012, N39))</f>
        <v>53.884750000000011</v>
      </c>
      <c r="Q39" s="70">
        <f>AVERAGE(INDEX(I$5:I$1012, N38+1):INDEX(I$5:I$1012, N39))</f>
        <v>32857553.600000001</v>
      </c>
    </row>
    <row r="40" spans="2:17" x14ac:dyDescent="0.2">
      <c r="B40" s="62">
        <v>42683</v>
      </c>
      <c r="C40" s="72">
        <v>60.17</v>
      </c>
      <c r="D40" s="71">
        <v>49588490</v>
      </c>
      <c r="E40" s="66" t="s">
        <v>81</v>
      </c>
      <c r="F40" s="16">
        <f t="shared" si="1"/>
        <v>973</v>
      </c>
      <c r="G40" s="67" cm="1">
        <f t="array" ref="G40">INDEX($B$5:$B$1012, F40)</f>
        <v>41327</v>
      </c>
      <c r="H40" s="69" cm="1">
        <f t="array" ref="H40">INDEX($C$5:$C$1012, F40)</f>
        <v>27.76</v>
      </c>
      <c r="I40" s="70" cm="1">
        <f t="array" ref="I40">INDEX($D$5:$D$1012, F40)</f>
        <v>31425530</v>
      </c>
      <c r="K40" s="59">
        <f t="shared" si="2"/>
        <v>42339</v>
      </c>
      <c r="L40" s="59">
        <f t="shared" si="0"/>
        <v>42369</v>
      </c>
      <c r="M40" s="68">
        <f t="shared" si="3"/>
        <v>36</v>
      </c>
      <c r="N40" s="16">
        <f t="shared" si="5"/>
        <v>756</v>
      </c>
      <c r="O40" s="75">
        <f t="shared" ca="1" si="6"/>
        <v>1218.71</v>
      </c>
      <c r="P40" s="69">
        <f>AVERAGE(INDEX(H$5:H$1012, N39+1):INDEX(H$5:H$1012, N40))</f>
        <v>55.395909090909093</v>
      </c>
      <c r="Q40" s="70">
        <f>AVERAGE(INDEX(I$5:I$1012, N39+1):INDEX(I$5:I$1012, N40))</f>
        <v>35963011</v>
      </c>
    </row>
    <row r="41" spans="2:17" x14ac:dyDescent="0.2">
      <c r="B41" s="62">
        <v>42682</v>
      </c>
      <c r="C41" s="72">
        <v>60.47</v>
      </c>
      <c r="D41" s="71">
        <v>22923800</v>
      </c>
      <c r="E41" s="66" t="s">
        <v>81</v>
      </c>
      <c r="F41" s="16">
        <f t="shared" si="1"/>
        <v>972</v>
      </c>
      <c r="G41" s="67" cm="1">
        <f t="array" ref="G41">INDEX($B$5:$B$1012, F41)</f>
        <v>41330</v>
      </c>
      <c r="H41" s="69" cm="1">
        <f t="array" ref="H41">INDEX($C$5:$C$1012, F41)</f>
        <v>27.37</v>
      </c>
      <c r="I41" s="70" cm="1">
        <f t="array" ref="I41">INDEX($D$5:$D$1012, F41)</f>
        <v>48010290</v>
      </c>
      <c r="K41" s="59">
        <f t="shared" si="2"/>
        <v>42370</v>
      </c>
      <c r="L41" s="59">
        <f t="shared" si="0"/>
        <v>42400</v>
      </c>
      <c r="M41" s="68">
        <f t="shared" si="3"/>
        <v>37</v>
      </c>
      <c r="N41" s="16">
        <f t="shared" si="5"/>
        <v>775</v>
      </c>
      <c r="O41" s="75">
        <f t="shared" ca="1" si="6"/>
        <v>995.66499999999985</v>
      </c>
      <c r="P41" s="69">
        <f>AVERAGE(INDEX(H$5:H$1012, N40+1):INDEX(H$5:H$1012, N41))</f>
        <v>52.403421052631572</v>
      </c>
      <c r="Q41" s="70">
        <f>AVERAGE(INDEX(I$5:I$1012, N40+1):INDEX(I$5:I$1012, N41))</f>
        <v>48618740</v>
      </c>
    </row>
    <row r="42" spans="2:17" x14ac:dyDescent="0.2">
      <c r="B42" s="62">
        <v>42681</v>
      </c>
      <c r="C42" s="72">
        <v>60.42</v>
      </c>
      <c r="D42" s="71">
        <v>31652340</v>
      </c>
      <c r="E42" s="66" t="s">
        <v>81</v>
      </c>
      <c r="F42" s="16">
        <f t="shared" si="1"/>
        <v>971</v>
      </c>
      <c r="G42" s="67" cm="1">
        <f t="array" ref="G42">INDEX($B$5:$B$1012, F42)</f>
        <v>41331</v>
      </c>
      <c r="H42" s="69" cm="1">
        <f t="array" ref="H42">INDEX($C$5:$C$1012, F42)</f>
        <v>27.37</v>
      </c>
      <c r="I42" s="70" cm="1">
        <f t="array" ref="I42">INDEX($D$5:$D$1012, F42)</f>
        <v>49916760</v>
      </c>
      <c r="K42" s="59">
        <f t="shared" si="2"/>
        <v>42401</v>
      </c>
      <c r="L42" s="59">
        <f t="shared" si="0"/>
        <v>42429</v>
      </c>
      <c r="M42" s="68">
        <f t="shared" si="3"/>
        <v>38</v>
      </c>
      <c r="N42" s="16">
        <f t="shared" si="5"/>
        <v>795</v>
      </c>
      <c r="O42" s="75">
        <f t="shared" ca="1" si="6"/>
        <v>1027.6099999999999</v>
      </c>
      <c r="P42" s="69">
        <f>AVERAGE(INDEX(H$5:H$1012, N41+1):INDEX(H$5:H$1012, N42))</f>
        <v>51.380499999999998</v>
      </c>
      <c r="Q42" s="70">
        <f>AVERAGE(INDEX(I$5:I$1012, N41+1):INDEX(I$5:I$1012, N42))</f>
        <v>40532121.5</v>
      </c>
    </row>
    <row r="43" spans="2:17" x14ac:dyDescent="0.2">
      <c r="B43" s="62">
        <v>42678</v>
      </c>
      <c r="C43" s="72">
        <v>58.71</v>
      </c>
      <c r="D43" s="71">
        <v>28693430</v>
      </c>
      <c r="E43" s="66" t="s">
        <v>81</v>
      </c>
      <c r="F43" s="16">
        <f t="shared" si="1"/>
        <v>970</v>
      </c>
      <c r="G43" s="67" cm="1">
        <f t="array" ref="G43">INDEX($B$5:$B$1012, F43)</f>
        <v>41332</v>
      </c>
      <c r="H43" s="69" cm="1">
        <f t="array" ref="H43">INDEX($C$5:$C$1012, F43)</f>
        <v>27.81</v>
      </c>
      <c r="I43" s="70" cm="1">
        <f t="array" ref="I43">INDEX($D$5:$D$1012, F43)</f>
        <v>36364200</v>
      </c>
      <c r="K43" s="59">
        <f t="shared" si="2"/>
        <v>42430</v>
      </c>
      <c r="L43" s="59">
        <f t="shared" si="0"/>
        <v>42460</v>
      </c>
      <c r="M43" s="68">
        <f t="shared" si="3"/>
        <v>39</v>
      </c>
      <c r="N43" s="16">
        <f>MATCH(L43,$G$5:$G$1012,1)</f>
        <v>817</v>
      </c>
      <c r="O43" s="75">
        <f t="shared" ca="1" si="6"/>
        <v>1174.45</v>
      </c>
      <c r="P43" s="69">
        <f>AVERAGE(INDEX(H$5:H$1012, N42+1):INDEX(H$5:H$1012, N43))</f>
        <v>53.384090909090908</v>
      </c>
      <c r="Q43" s="70">
        <f>AVERAGE(INDEX(I$5:I$1012, N42+1):INDEX(I$5:I$1012, N43))</f>
        <v>29083910.454545453</v>
      </c>
    </row>
    <row r="44" spans="2:17" x14ac:dyDescent="0.2">
      <c r="B44" s="62">
        <v>42677</v>
      </c>
      <c r="C44" s="72">
        <v>59.21</v>
      </c>
      <c r="D44" s="71">
        <v>21448620</v>
      </c>
      <c r="E44" s="66" t="s">
        <v>81</v>
      </c>
      <c r="F44" s="16">
        <f t="shared" si="1"/>
        <v>969</v>
      </c>
      <c r="G44" s="67" cm="1">
        <f t="array" ref="G44">INDEX($B$5:$B$1012, F44)</f>
        <v>41333</v>
      </c>
      <c r="H44" s="69" cm="1">
        <f t="array" ref="H44">INDEX($C$5:$C$1012, F44)</f>
        <v>27.8</v>
      </c>
      <c r="I44" s="70" cm="1">
        <f t="array" ref="I44">INDEX($D$5:$D$1012, F44)</f>
        <v>35836860</v>
      </c>
      <c r="K44" s="59">
        <f t="shared" si="2"/>
        <v>42461</v>
      </c>
      <c r="L44" s="59">
        <f t="shared" si="0"/>
        <v>42490</v>
      </c>
      <c r="M44" s="68">
        <f t="shared" si="3"/>
        <v>40</v>
      </c>
      <c r="N44" s="16">
        <f t="shared" si="5"/>
        <v>838</v>
      </c>
      <c r="O44" s="75">
        <f t="shared" ca="1" si="6"/>
        <v>1135.1400000000001</v>
      </c>
      <c r="P44" s="69">
        <f>AVERAGE(INDEX(H$5:H$1012, N43+1):INDEX(H$5:H$1012, N44))</f>
        <v>54.054285714285719</v>
      </c>
      <c r="Q44" s="70">
        <f>AVERAGE(INDEX(I$5:I$1012, N43+1):INDEX(I$5:I$1012, N44))</f>
        <v>33206827.142857142</v>
      </c>
    </row>
    <row r="45" spans="2:17" x14ac:dyDescent="0.2">
      <c r="B45" s="62">
        <v>42676</v>
      </c>
      <c r="C45" s="72">
        <v>59.43</v>
      </c>
      <c r="D45" s="71">
        <v>22118490</v>
      </c>
      <c r="E45" s="66" t="s">
        <v>81</v>
      </c>
      <c r="F45" s="16">
        <f t="shared" si="1"/>
        <v>968</v>
      </c>
      <c r="G45" s="67" cm="1">
        <f t="array" ref="G45">INDEX($B$5:$B$1012, F45)</f>
        <v>41334</v>
      </c>
      <c r="H45" s="69" cm="1">
        <f t="array" ref="H45">INDEX($C$5:$C$1012, F45)</f>
        <v>27.95</v>
      </c>
      <c r="I45" s="70" cm="1">
        <f t="array" ref="I45">INDEX($D$5:$D$1012, F45)</f>
        <v>34849290</v>
      </c>
      <c r="J45" s="84"/>
      <c r="K45" s="59">
        <f t="shared" si="2"/>
        <v>42491</v>
      </c>
      <c r="L45" s="59">
        <f t="shared" si="0"/>
        <v>42521</v>
      </c>
      <c r="M45" s="68">
        <f t="shared" si="3"/>
        <v>41</v>
      </c>
      <c r="N45" s="16">
        <f t="shared" si="5"/>
        <v>859</v>
      </c>
      <c r="O45" s="75">
        <f t="shared" ca="1" si="6"/>
        <v>1070.3600000000001</v>
      </c>
      <c r="P45" s="69">
        <f>AVERAGE(INDEX(H$5:H$1012, N44+1):INDEX(H$5:H$1012, N45))</f>
        <v>50.969523809523814</v>
      </c>
      <c r="Q45" s="70">
        <f>AVERAGE(INDEX(I$5:I$1012, N44+1):INDEX(I$5:I$1012, N45))</f>
        <v>25233649.523809522</v>
      </c>
    </row>
    <row r="46" spans="2:17" x14ac:dyDescent="0.2">
      <c r="B46" s="62">
        <v>42675</v>
      </c>
      <c r="C46" s="72">
        <v>59.8</v>
      </c>
      <c r="D46" s="71">
        <v>24474870</v>
      </c>
      <c r="E46" s="66" t="s">
        <v>81</v>
      </c>
      <c r="F46" s="16">
        <f t="shared" si="1"/>
        <v>967</v>
      </c>
      <c r="G46" s="67" cm="1">
        <f t="array" ref="G46">INDEX($B$5:$B$1012, F46)</f>
        <v>41337</v>
      </c>
      <c r="H46" s="69" cm="1">
        <f t="array" ref="H46">INDEX($C$5:$C$1012, F46)</f>
        <v>28.15</v>
      </c>
      <c r="I46" s="70" cm="1">
        <f t="array" ref="I46">INDEX($D$5:$D$1012, F46)</f>
        <v>37417700</v>
      </c>
      <c r="K46" s="59">
        <f t="shared" si="2"/>
        <v>42522</v>
      </c>
      <c r="L46" s="59">
        <f t="shared" si="0"/>
        <v>42551</v>
      </c>
      <c r="M46" s="68">
        <f t="shared" si="3"/>
        <v>42</v>
      </c>
      <c r="N46" s="16">
        <f t="shared" si="5"/>
        <v>881</v>
      </c>
      <c r="O46" s="75">
        <f t="shared" ca="1" si="6"/>
        <v>1120.24</v>
      </c>
      <c r="P46" s="69">
        <f>AVERAGE(INDEX(H$5:H$1012, N45+1):INDEX(H$5:H$1012, N46))</f>
        <v>50.92</v>
      </c>
      <c r="Q46" s="70">
        <f>AVERAGE(INDEX(I$5:I$1012, N45+1):INDEX(I$5:I$1012, N46))</f>
        <v>37393485</v>
      </c>
    </row>
    <row r="47" spans="2:17" x14ac:dyDescent="0.2">
      <c r="B47" s="62">
        <v>42674</v>
      </c>
      <c r="C47" s="72">
        <v>59.92</v>
      </c>
      <c r="D47" s="71">
        <v>26418340</v>
      </c>
      <c r="E47" s="66" t="s">
        <v>81</v>
      </c>
      <c r="F47" s="16">
        <f t="shared" si="1"/>
        <v>966</v>
      </c>
      <c r="G47" s="67" cm="1">
        <f t="array" ref="G47">INDEX($B$5:$B$1012, F47)</f>
        <v>41338</v>
      </c>
      <c r="H47" s="69" cm="1">
        <f t="array" ref="H47">INDEX($C$5:$C$1012, F47)</f>
        <v>28.35</v>
      </c>
      <c r="I47" s="70" cm="1">
        <f t="array" ref="I47">INDEX($D$5:$D$1012, F47)</f>
        <v>41429520</v>
      </c>
      <c r="K47" s="59">
        <f t="shared" si="2"/>
        <v>42552</v>
      </c>
      <c r="L47" s="59">
        <f t="shared" si="0"/>
        <v>42582</v>
      </c>
      <c r="M47" s="68">
        <f t="shared" si="3"/>
        <v>43</v>
      </c>
      <c r="N47" s="16">
        <f t="shared" si="5"/>
        <v>901</v>
      </c>
      <c r="O47" s="75">
        <f t="shared" ca="1" si="6"/>
        <v>1082.0400000000002</v>
      </c>
      <c r="P47" s="69">
        <f>AVERAGE(INDEX(H$5:H$1012, N46+1):INDEX(H$5:H$1012, N47))</f>
        <v>54.102000000000011</v>
      </c>
      <c r="Q47" s="70">
        <f>AVERAGE(INDEX(I$5:I$1012, N46+1):INDEX(I$5:I$1012, N47))</f>
        <v>32162947</v>
      </c>
    </row>
    <row r="48" spans="2:17" x14ac:dyDescent="0.2">
      <c r="B48" s="62">
        <v>42671</v>
      </c>
      <c r="C48" s="72">
        <v>59.87</v>
      </c>
      <c r="D48" s="71">
        <v>33569190</v>
      </c>
      <c r="E48" s="66" t="s">
        <v>81</v>
      </c>
      <c r="F48" s="16">
        <f t="shared" si="1"/>
        <v>965</v>
      </c>
      <c r="G48" s="67" cm="1">
        <f t="array" ref="G48">INDEX($B$5:$B$1012, F48)</f>
        <v>41339</v>
      </c>
      <c r="H48" s="69" cm="1">
        <f t="array" ref="H48">INDEX($C$5:$C$1012, F48)</f>
        <v>28.09</v>
      </c>
      <c r="I48" s="70" cm="1">
        <f t="array" ref="I48">INDEX($D$5:$D$1012, F48)</f>
        <v>51448250</v>
      </c>
      <c r="K48" s="59">
        <f t="shared" si="2"/>
        <v>42583</v>
      </c>
      <c r="L48" s="59">
        <f t="shared" si="0"/>
        <v>42613</v>
      </c>
      <c r="M48" s="68">
        <f t="shared" si="3"/>
        <v>44</v>
      </c>
      <c r="N48" s="16">
        <f t="shared" si="5"/>
        <v>924</v>
      </c>
      <c r="O48" s="75">
        <f t="shared" ca="1" si="6"/>
        <v>1327.5</v>
      </c>
      <c r="P48" s="69">
        <f>AVERAGE(INDEX(H$5:H$1012, N47+1):INDEX(H$5:H$1012, N48))</f>
        <v>57.717391304347828</v>
      </c>
      <c r="Q48" s="70">
        <f>AVERAGE(INDEX(I$5:I$1012, N47+1):INDEX(I$5:I$1012, N48))</f>
        <v>20196374.347826086</v>
      </c>
    </row>
    <row r="49" spans="2:17" x14ac:dyDescent="0.2">
      <c r="B49" s="62">
        <v>42670</v>
      </c>
      <c r="C49" s="72">
        <v>60.1</v>
      </c>
      <c r="D49" s="71">
        <v>28444550</v>
      </c>
      <c r="E49" s="66" t="s">
        <v>81</v>
      </c>
      <c r="F49" s="16">
        <f t="shared" si="1"/>
        <v>964</v>
      </c>
      <c r="G49" s="67" cm="1">
        <f t="array" ref="G49">INDEX($B$5:$B$1012, F49)</f>
        <v>41340</v>
      </c>
      <c r="H49" s="69" cm="1">
        <f t="array" ref="H49">INDEX($C$5:$C$1012, F49)</f>
        <v>28.14</v>
      </c>
      <c r="I49" s="70" cm="1">
        <f t="array" ref="I49">INDEX($D$5:$D$1012, F49)</f>
        <v>29196490</v>
      </c>
      <c r="K49" s="59">
        <f t="shared" si="2"/>
        <v>42614</v>
      </c>
      <c r="L49" s="59">
        <f t="shared" si="0"/>
        <v>42643</v>
      </c>
      <c r="M49" s="68">
        <f t="shared" si="3"/>
        <v>45</v>
      </c>
      <c r="N49" s="16">
        <f t="shared" si="5"/>
        <v>945</v>
      </c>
      <c r="O49" s="75">
        <f t="shared" ca="1" si="6"/>
        <v>1203.08</v>
      </c>
      <c r="P49" s="69">
        <f>AVERAGE(INDEX(H$5:H$1012, N48+1):INDEX(H$5:H$1012, N49))</f>
        <v>57.289523809523807</v>
      </c>
      <c r="Q49" s="70">
        <f>AVERAGE(INDEX(I$5:I$1012, N48+1):INDEX(I$5:I$1012, N49))</f>
        <v>25035404.285714287</v>
      </c>
    </row>
    <row r="50" spans="2:17" x14ac:dyDescent="0.2">
      <c r="B50" s="62">
        <v>42669</v>
      </c>
      <c r="C50" s="72">
        <v>60.63</v>
      </c>
      <c r="D50" s="71">
        <v>29908240</v>
      </c>
      <c r="E50" s="66" t="s">
        <v>81</v>
      </c>
      <c r="F50" s="16">
        <f t="shared" si="1"/>
        <v>963</v>
      </c>
      <c r="G50" s="67" cm="1">
        <f t="array" ref="G50">INDEX($B$5:$B$1012, F50)</f>
        <v>41341</v>
      </c>
      <c r="H50" s="69" cm="1">
        <f t="array" ref="H50">INDEX($C$5:$C$1012, F50)</f>
        <v>28</v>
      </c>
      <c r="I50" s="70" cm="1">
        <f t="array" ref="I50">INDEX($D$5:$D$1012, F50)</f>
        <v>37664330</v>
      </c>
      <c r="K50" s="59">
        <f t="shared" si="2"/>
        <v>42644</v>
      </c>
      <c r="L50" s="59">
        <f t="shared" si="0"/>
        <v>42674</v>
      </c>
      <c r="M50" s="68">
        <f t="shared" si="3"/>
        <v>46</v>
      </c>
      <c r="N50" s="16">
        <f t="shared" si="5"/>
        <v>966</v>
      </c>
      <c r="O50" s="75">
        <f t="shared" ca="1" si="6"/>
        <v>1226.3499999999999</v>
      </c>
      <c r="P50" s="69">
        <f>AVERAGE(INDEX(H$5:H$1012, N49+1):INDEX(H$5:H$1012, N50))</f>
        <v>58.397619047619045</v>
      </c>
      <c r="Q50" s="70">
        <f>AVERAGE(INDEX(I$5:I$1012, N49+1):INDEX(I$5:I$1012, N50))</f>
        <v>29203384.761904761</v>
      </c>
    </row>
    <row r="51" spans="2:17" x14ac:dyDescent="0.2">
      <c r="B51" s="62">
        <v>42668</v>
      </c>
      <c r="C51" s="72">
        <v>60.99</v>
      </c>
      <c r="D51" s="71">
        <v>35119480</v>
      </c>
      <c r="E51" s="66" t="s">
        <v>81</v>
      </c>
      <c r="F51" s="16">
        <f t="shared" si="1"/>
        <v>962</v>
      </c>
      <c r="G51" s="67" cm="1">
        <f t="array" ref="G51">INDEX($B$5:$B$1012, F51)</f>
        <v>41344</v>
      </c>
      <c r="H51" s="69" cm="1">
        <f t="array" ref="H51">INDEX($C$5:$C$1012, F51)</f>
        <v>27.87</v>
      </c>
      <c r="I51" s="70" cm="1">
        <f t="array" ref="I51">INDEX($D$5:$D$1012, F51)</f>
        <v>36623800</v>
      </c>
      <c r="K51" s="59">
        <f t="shared" si="2"/>
        <v>42675</v>
      </c>
      <c r="L51" s="59">
        <f t="shared" si="0"/>
        <v>42704</v>
      </c>
      <c r="M51" s="68">
        <f t="shared" si="3"/>
        <v>47</v>
      </c>
      <c r="N51" s="16">
        <f t="shared" si="5"/>
        <v>987</v>
      </c>
      <c r="O51" s="75">
        <f t="shared" ca="1" si="6"/>
        <v>1258.4299999999998</v>
      </c>
      <c r="P51" s="69">
        <f>AVERAGE(INDEX(H$5:H$1012, N50+1):INDEX(H$5:H$1012, N51))</f>
        <v>59.925238095238086</v>
      </c>
      <c r="Q51" s="70">
        <f>AVERAGE(INDEX(I$5:I$1012, N50+1):INDEX(I$5:I$1012, N51))</f>
        <v>29001884.095238097</v>
      </c>
    </row>
    <row r="52" spans="2:17" x14ac:dyDescent="0.2">
      <c r="B52" s="62">
        <v>42667</v>
      </c>
      <c r="C52" s="72">
        <v>61</v>
      </c>
      <c r="D52" s="71">
        <v>54039610</v>
      </c>
      <c r="E52" s="66" t="s">
        <v>81</v>
      </c>
      <c r="F52" s="16">
        <f t="shared" si="1"/>
        <v>961</v>
      </c>
      <c r="G52" s="67" cm="1">
        <f t="array" ref="G52">INDEX($B$5:$B$1012, F52)</f>
        <v>41345</v>
      </c>
      <c r="H52" s="69" cm="1">
        <f t="array" ref="H52">INDEX($C$5:$C$1012, F52)</f>
        <v>27.91</v>
      </c>
      <c r="I52" s="70" cm="1">
        <f t="array" ref="I52">INDEX($D$5:$D$1012, F52)</f>
        <v>39249390</v>
      </c>
      <c r="K52" s="59">
        <f t="shared" si="2"/>
        <v>42705</v>
      </c>
      <c r="L52" s="59">
        <f t="shared" si="0"/>
        <v>42735</v>
      </c>
      <c r="M52" s="68">
        <f t="shared" si="3"/>
        <v>48</v>
      </c>
      <c r="N52" s="16">
        <f t="shared" si="5"/>
        <v>1008</v>
      </c>
      <c r="O52" s="75">
        <f t="shared" ca="1" si="6"/>
        <v>1304.48</v>
      </c>
      <c r="P52" s="69">
        <f>AVERAGE(INDEX(H$5:H$1012, N51+1):INDEX(H$5:H$1012, N52))</f>
        <v>62.118095238095236</v>
      </c>
      <c r="Q52" s="70">
        <f>AVERAGE(INDEX(I$5:I$1012, N51+1):INDEX(I$5:I$1012, N52))</f>
        <v>24403137.142857142</v>
      </c>
    </row>
    <row r="53" spans="2:17" x14ac:dyDescent="0.2">
      <c r="B53" s="62">
        <v>42664</v>
      </c>
      <c r="C53" s="72">
        <v>59.66</v>
      </c>
      <c r="D53" s="71">
        <v>80008400</v>
      </c>
      <c r="E53" s="66" t="s">
        <v>81</v>
      </c>
      <c r="F53" s="16">
        <f t="shared" si="1"/>
        <v>960</v>
      </c>
      <c r="G53" s="67" cm="1">
        <f t="array" ref="G53">INDEX($B$5:$B$1012, F53)</f>
        <v>41346</v>
      </c>
      <c r="H53" s="69" cm="1">
        <f t="array" ref="H53">INDEX($C$5:$C$1012, F53)</f>
        <v>27.914999999999999</v>
      </c>
      <c r="I53" s="70" cm="1">
        <f t="array" ref="I53">INDEX($D$5:$D$1012, F53)</f>
        <v>29037180</v>
      </c>
      <c r="K53" s="59"/>
      <c r="L53" s="59"/>
    </row>
    <row r="54" spans="2:17" x14ac:dyDescent="0.2">
      <c r="B54" s="62">
        <v>42663</v>
      </c>
      <c r="C54" s="72">
        <v>57.25</v>
      </c>
      <c r="D54" s="71">
        <v>48880910</v>
      </c>
      <c r="E54" s="66" t="s">
        <v>81</v>
      </c>
      <c r="F54" s="16">
        <f t="shared" si="1"/>
        <v>959</v>
      </c>
      <c r="G54" s="67" cm="1">
        <f t="array" ref="G54">INDEX($B$5:$B$1012, F54)</f>
        <v>41347</v>
      </c>
      <c r="H54" s="69" cm="1">
        <f t="array" ref="H54">INDEX($C$5:$C$1012, F54)</f>
        <v>28.135000000000002</v>
      </c>
      <c r="I54" s="70" cm="1">
        <f t="array" ref="I54">INDEX($D$5:$D$1012, F54)</f>
        <v>55909310</v>
      </c>
      <c r="K54" s="59"/>
      <c r="L54" s="59"/>
    </row>
    <row r="55" spans="2:17" x14ac:dyDescent="0.2">
      <c r="B55" s="62">
        <v>42662</v>
      </c>
      <c r="C55" s="72">
        <v>57.53</v>
      </c>
      <c r="D55" s="71">
        <v>22840410</v>
      </c>
      <c r="E55" s="66" t="s">
        <v>81</v>
      </c>
      <c r="F55" s="16">
        <f t="shared" si="1"/>
        <v>958</v>
      </c>
      <c r="G55" s="67" cm="1">
        <f t="array" ref="G55">INDEX($B$5:$B$1012, F55)</f>
        <v>41348</v>
      </c>
      <c r="H55" s="69" cm="1">
        <f t="array" ref="H55">INDEX($C$5:$C$1012, F55)</f>
        <v>28.035</v>
      </c>
      <c r="I55" s="70" cm="1">
        <f t="array" ref="I55">INDEX($D$5:$D$1012, F55)</f>
        <v>92679320</v>
      </c>
      <c r="K55" s="59"/>
      <c r="L55" s="59"/>
    </row>
    <row r="56" spans="2:17" x14ac:dyDescent="0.2">
      <c r="B56" s="62">
        <v>42661</v>
      </c>
      <c r="C56" s="72">
        <v>57.66</v>
      </c>
      <c r="D56" s="71">
        <v>18862790</v>
      </c>
      <c r="E56" s="66" t="s">
        <v>81</v>
      </c>
      <c r="F56" s="16">
        <f t="shared" si="1"/>
        <v>957</v>
      </c>
      <c r="G56" s="67" cm="1">
        <f t="array" ref="G56">INDEX($B$5:$B$1012, F56)</f>
        <v>41351</v>
      </c>
      <c r="H56" s="69" cm="1">
        <f t="array" ref="H56">INDEX($C$5:$C$1012, F56)</f>
        <v>28.1</v>
      </c>
      <c r="I56" s="70" cm="1">
        <f t="array" ref="I56">INDEX($D$5:$D$1012, F56)</f>
        <v>44821170</v>
      </c>
      <c r="J56" s="84"/>
      <c r="K56" s="59"/>
      <c r="L56" s="59"/>
    </row>
    <row r="57" spans="2:17" x14ac:dyDescent="0.2">
      <c r="B57" s="62">
        <v>42660</v>
      </c>
      <c r="C57" s="72">
        <v>57.22</v>
      </c>
      <c r="D57" s="71">
        <v>23829490</v>
      </c>
      <c r="E57" s="66" t="s">
        <v>81</v>
      </c>
      <c r="F57" s="16">
        <f t="shared" si="1"/>
        <v>956</v>
      </c>
      <c r="G57" s="67" cm="1">
        <f t="array" ref="G57">INDEX($B$5:$B$1012, F57)</f>
        <v>41352</v>
      </c>
      <c r="H57" s="69" cm="1">
        <f t="array" ref="H57">INDEX($C$5:$C$1012, F57)</f>
        <v>28.18</v>
      </c>
      <c r="I57" s="70" cm="1">
        <f t="array" ref="I57">INDEX($D$5:$D$1012, F57)</f>
        <v>51893870</v>
      </c>
      <c r="K57" s="59"/>
      <c r="L57" s="59"/>
    </row>
    <row r="58" spans="2:17" x14ac:dyDescent="0.2">
      <c r="B58" s="62">
        <v>42657</v>
      </c>
      <c r="C58" s="72">
        <v>57.42</v>
      </c>
      <c r="D58" s="71">
        <v>27221480</v>
      </c>
      <c r="E58" s="66" t="s">
        <v>81</v>
      </c>
      <c r="F58" s="16">
        <f t="shared" si="1"/>
        <v>955</v>
      </c>
      <c r="G58" s="67" cm="1">
        <f t="array" ref="G58">INDEX($B$5:$B$1012, F58)</f>
        <v>41353</v>
      </c>
      <c r="H58" s="69" cm="1">
        <f t="array" ref="H58">INDEX($C$5:$C$1012, F58)</f>
        <v>28.315000000000001</v>
      </c>
      <c r="I58" s="70" cm="1">
        <f t="array" ref="I58">INDEX($D$5:$D$1012, F58)</f>
        <v>35446920</v>
      </c>
      <c r="K58" s="59"/>
      <c r="L58" s="59"/>
    </row>
    <row r="59" spans="2:17" x14ac:dyDescent="0.2">
      <c r="B59" s="62">
        <v>42656</v>
      </c>
      <c r="C59" s="72">
        <v>56.92</v>
      </c>
      <c r="D59" s="71">
        <v>25217590</v>
      </c>
      <c r="E59" s="66" t="s">
        <v>81</v>
      </c>
      <c r="F59" s="16">
        <f t="shared" si="1"/>
        <v>954</v>
      </c>
      <c r="G59" s="67" cm="1">
        <f t="array" ref="G59">INDEX($B$5:$B$1012, F59)</f>
        <v>41354</v>
      </c>
      <c r="H59" s="69" cm="1">
        <f t="array" ref="H59">INDEX($C$5:$C$1012, F59)</f>
        <v>28.11</v>
      </c>
      <c r="I59" s="70" cm="1">
        <f t="array" ref="I59">INDEX($D$5:$D$1012, F59)</f>
        <v>34232750</v>
      </c>
      <c r="J59" s="84">
        <f>SUM(H45:H64)</f>
        <v>562.79000000000008</v>
      </c>
      <c r="K59" s="59"/>
      <c r="L59" s="59"/>
    </row>
    <row r="60" spans="2:17" x14ac:dyDescent="0.2">
      <c r="B60" s="62">
        <v>42655</v>
      </c>
      <c r="C60" s="72">
        <v>57.11</v>
      </c>
      <c r="D60" s="71">
        <v>22157100</v>
      </c>
      <c r="E60" s="66" t="s">
        <v>81</v>
      </c>
      <c r="F60" s="16">
        <f t="shared" si="1"/>
        <v>953</v>
      </c>
      <c r="G60" s="67" cm="1">
        <f t="array" ref="G60">INDEX($B$5:$B$1012, F60)</f>
        <v>41355</v>
      </c>
      <c r="H60" s="69" cm="1">
        <f t="array" ref="H60">INDEX($C$5:$C$1012, F60)</f>
        <v>28.25</v>
      </c>
      <c r="I60" s="70" cm="1">
        <f t="array" ref="I60">INDEX($D$5:$D$1012, F60)</f>
        <v>28688730</v>
      </c>
      <c r="J60" s="84">
        <f>SUM(H65:H86)</f>
        <v>657.1400000000001</v>
      </c>
      <c r="K60" s="59"/>
      <c r="L60" s="59"/>
    </row>
    <row r="61" spans="2:17" x14ac:dyDescent="0.2">
      <c r="B61" s="62">
        <v>42654</v>
      </c>
      <c r="C61" s="72">
        <v>57.19</v>
      </c>
      <c r="D61" s="71">
        <v>26483780</v>
      </c>
      <c r="E61" s="66" t="s">
        <v>81</v>
      </c>
      <c r="F61" s="16">
        <f t="shared" si="1"/>
        <v>952</v>
      </c>
      <c r="G61" s="67" cm="1">
        <f t="array" ref="G61">INDEX($B$5:$B$1012, F61)</f>
        <v>41358</v>
      </c>
      <c r="H61" s="69" cm="1">
        <f t="array" ref="H61">INDEX($C$5:$C$1012, F61)</f>
        <v>28.16</v>
      </c>
      <c r="I61" s="70" cm="1">
        <f t="array" ref="I61">INDEX($D$5:$D$1012, F61)</f>
        <v>44153830</v>
      </c>
      <c r="K61" s="59"/>
      <c r="L61" s="59"/>
    </row>
    <row r="62" spans="2:17" x14ac:dyDescent="0.2">
      <c r="B62" s="62">
        <v>42653</v>
      </c>
      <c r="C62" s="72">
        <v>58.04</v>
      </c>
      <c r="D62" s="71">
        <v>18085830</v>
      </c>
      <c r="E62" s="66" t="s">
        <v>81</v>
      </c>
      <c r="F62" s="16">
        <f t="shared" si="1"/>
        <v>951</v>
      </c>
      <c r="G62" s="67" cm="1">
        <f t="array" ref="G62">INDEX($B$5:$B$1012, F62)</f>
        <v>41359</v>
      </c>
      <c r="H62" s="69" cm="1">
        <f t="array" ref="H62">INDEX($C$5:$C$1012, F62)</f>
        <v>28.155000000000001</v>
      </c>
      <c r="I62" s="70" cm="1">
        <f t="array" ref="I62">INDEX($D$5:$D$1012, F62)</f>
        <v>27822150</v>
      </c>
      <c r="J62">
        <f>COUNT(G65:G86)</f>
        <v>22</v>
      </c>
    </row>
    <row r="63" spans="2:17" x14ac:dyDescent="0.2">
      <c r="B63" s="62">
        <v>42650</v>
      </c>
      <c r="C63" s="72">
        <v>57.8</v>
      </c>
      <c r="D63" s="71">
        <v>20062440</v>
      </c>
      <c r="E63" s="66" t="s">
        <v>81</v>
      </c>
      <c r="F63" s="16">
        <f t="shared" si="1"/>
        <v>950</v>
      </c>
      <c r="G63" s="67" cm="1">
        <f t="array" ref="G63">INDEX($B$5:$B$1012, F63)</f>
        <v>41360</v>
      </c>
      <c r="H63" s="69" cm="1">
        <f t="array" ref="H63">INDEX($C$5:$C$1012, F63)</f>
        <v>28.37</v>
      </c>
      <c r="I63" s="70" cm="1">
        <f t="array" ref="I63">INDEX($D$5:$D$1012, F63)</f>
        <v>35894590</v>
      </c>
    </row>
    <row r="64" spans="2:17" x14ac:dyDescent="0.2">
      <c r="B64" s="62">
        <v>42649</v>
      </c>
      <c r="C64" s="72">
        <v>57.74</v>
      </c>
      <c r="D64" s="71">
        <v>16194470</v>
      </c>
      <c r="E64" s="66" t="s">
        <v>81</v>
      </c>
      <c r="F64" s="16">
        <f t="shared" si="1"/>
        <v>949</v>
      </c>
      <c r="G64" s="67" cm="1">
        <f t="array" ref="G64">INDEX($B$5:$B$1012, F64)</f>
        <v>41361</v>
      </c>
      <c r="H64" s="69" cm="1">
        <f t="array" ref="H64">INDEX($C$5:$C$1012, F64)</f>
        <v>28.605</v>
      </c>
      <c r="I64" s="70" cm="1">
        <f t="array" ref="I64">INDEX($D$5:$D$1012, F64)</f>
        <v>55453460</v>
      </c>
    </row>
    <row r="65" spans="2:9" x14ac:dyDescent="0.2">
      <c r="B65" s="62">
        <v>42648</v>
      </c>
      <c r="C65" s="72">
        <v>57.64</v>
      </c>
      <c r="D65" s="71">
        <v>16708620</v>
      </c>
      <c r="E65" s="66" t="s">
        <v>81</v>
      </c>
      <c r="F65" s="16">
        <f t="shared" si="1"/>
        <v>948</v>
      </c>
      <c r="G65" s="67" cm="1">
        <f t="array" ref="G65">INDEX($B$5:$B$1012, F65)</f>
        <v>41365</v>
      </c>
      <c r="H65" s="69" cm="1">
        <f t="array" ref="H65">INDEX($C$5:$C$1012, F65)</f>
        <v>28.61</v>
      </c>
      <c r="I65" s="70" cm="1">
        <f t="array" ref="I65">INDEX($D$5:$D$1012, F65)</f>
        <v>29085390</v>
      </c>
    </row>
    <row r="66" spans="2:9" x14ac:dyDescent="0.2">
      <c r="B66" s="62">
        <v>42647</v>
      </c>
      <c r="C66" s="72">
        <v>57.24</v>
      </c>
      <c r="D66" s="71">
        <v>20061950</v>
      </c>
      <c r="E66" s="66" t="s">
        <v>81</v>
      </c>
      <c r="F66" s="16">
        <f t="shared" si="1"/>
        <v>947</v>
      </c>
      <c r="G66" s="67" cm="1">
        <f t="array" ref="G66">INDEX($B$5:$B$1012, F66)</f>
        <v>41366</v>
      </c>
      <c r="H66" s="69" cm="1">
        <f t="array" ref="H66">INDEX($C$5:$C$1012, F66)</f>
        <v>28.8</v>
      </c>
      <c r="I66" s="70" cm="1">
        <f t="array" ref="I66">INDEX($D$5:$D$1012, F66)</f>
        <v>28319520</v>
      </c>
    </row>
    <row r="67" spans="2:9" x14ac:dyDescent="0.2">
      <c r="B67" s="62">
        <v>42646</v>
      </c>
      <c r="C67" s="72">
        <v>57.42</v>
      </c>
      <c r="D67" s="71">
        <v>19156410</v>
      </c>
      <c r="E67" s="66" t="s">
        <v>81</v>
      </c>
      <c r="F67" s="16">
        <f t="shared" si="1"/>
        <v>946</v>
      </c>
      <c r="G67" s="67" cm="1">
        <f t="array" ref="G67">INDEX($B$5:$B$1012, F67)</f>
        <v>41367</v>
      </c>
      <c r="H67" s="69" cm="1">
        <f t="array" ref="H67">INDEX($C$5:$C$1012, F67)</f>
        <v>28.56</v>
      </c>
      <c r="I67" s="70" cm="1">
        <f t="array" ref="I67">INDEX($D$5:$D$1012, F67)</f>
        <v>35046040</v>
      </c>
    </row>
    <row r="68" spans="2:9" x14ac:dyDescent="0.2">
      <c r="B68" s="62">
        <v>42643</v>
      </c>
      <c r="C68" s="72">
        <v>57.6</v>
      </c>
      <c r="D68" s="71">
        <v>29877820</v>
      </c>
      <c r="E68" s="66" t="s">
        <v>81</v>
      </c>
      <c r="F68" s="16">
        <f t="shared" si="1"/>
        <v>945</v>
      </c>
      <c r="G68" s="67" cm="1">
        <f t="array" ref="G68">INDEX($B$5:$B$1012, F68)</f>
        <v>41368</v>
      </c>
      <c r="H68" s="69" cm="1">
        <f t="array" ref="H68">INDEX($C$5:$C$1012, F68)</f>
        <v>28.594999999999999</v>
      </c>
      <c r="I68" s="70" cm="1">
        <f t="array" ref="I68">INDEX($D$5:$D$1012, F68)</f>
        <v>45261610</v>
      </c>
    </row>
    <row r="69" spans="2:9" x14ac:dyDescent="0.2">
      <c r="B69" s="62">
        <v>42642</v>
      </c>
      <c r="C69" s="72">
        <v>57.4</v>
      </c>
      <c r="D69" s="71">
        <v>25389600</v>
      </c>
      <c r="E69" s="66" t="s">
        <v>81</v>
      </c>
      <c r="F69" s="16">
        <f t="shared" si="1"/>
        <v>944</v>
      </c>
      <c r="G69" s="67" cm="1">
        <f t="array" ref="G69">INDEX($B$5:$B$1012, F69)</f>
        <v>41369</v>
      </c>
      <c r="H69" s="69" cm="1">
        <f t="array" ref="H69">INDEX($C$5:$C$1012, F69)</f>
        <v>28.7</v>
      </c>
      <c r="I69" s="70" cm="1">
        <f t="array" ref="I69">INDEX($D$5:$D$1012, F69)</f>
        <v>50924930</v>
      </c>
    </row>
    <row r="70" spans="2:9" x14ac:dyDescent="0.2">
      <c r="B70" s="62">
        <v>42641</v>
      </c>
      <c r="C70" s="72">
        <v>58.03</v>
      </c>
      <c r="D70" s="71">
        <v>20523320</v>
      </c>
      <c r="E70" s="66" t="s">
        <v>81</v>
      </c>
      <c r="F70" s="16">
        <f t="shared" ref="F70:F133" si="7">COUNT(B70:B1077)</f>
        <v>943</v>
      </c>
      <c r="G70" s="67" cm="1">
        <f t="array" ref="G70">INDEX($B$5:$B$1012, F70)</f>
        <v>41372</v>
      </c>
      <c r="H70" s="69" cm="1">
        <f t="array" ref="H70">INDEX($C$5:$C$1012, F70)</f>
        <v>28.59</v>
      </c>
      <c r="I70" s="70" cm="1">
        <f t="array" ref="I70">INDEX($D$5:$D$1012, F70)</f>
        <v>34759420</v>
      </c>
    </row>
    <row r="71" spans="2:9" x14ac:dyDescent="0.2">
      <c r="B71" s="62">
        <v>42640</v>
      </c>
      <c r="C71" s="72">
        <v>57.95</v>
      </c>
      <c r="D71" s="71">
        <v>28029780</v>
      </c>
      <c r="E71" s="66" t="s">
        <v>81</v>
      </c>
      <c r="F71" s="16">
        <f t="shared" si="7"/>
        <v>942</v>
      </c>
      <c r="G71" s="67" cm="1">
        <f t="array" ref="G71">INDEX($B$5:$B$1012, F71)</f>
        <v>41373</v>
      </c>
      <c r="H71" s="69" cm="1">
        <f t="array" ref="H71">INDEX($C$5:$C$1012, F71)</f>
        <v>29.61</v>
      </c>
      <c r="I71" s="70" cm="1">
        <f t="array" ref="I71">INDEX($D$5:$D$1012, F71)</f>
        <v>77730860</v>
      </c>
    </row>
    <row r="72" spans="2:9" x14ac:dyDescent="0.2">
      <c r="B72" s="62">
        <v>42639</v>
      </c>
      <c r="C72" s="72">
        <v>56.9</v>
      </c>
      <c r="D72" s="71">
        <v>21184750</v>
      </c>
      <c r="E72" s="66" t="s">
        <v>81</v>
      </c>
      <c r="F72" s="16">
        <f t="shared" si="7"/>
        <v>941</v>
      </c>
      <c r="G72" s="67" cm="1">
        <f t="array" ref="G72">INDEX($B$5:$B$1012, F72)</f>
        <v>41374</v>
      </c>
      <c r="H72" s="69" cm="1">
        <f t="array" ref="H72">INDEX($C$5:$C$1012, F72)</f>
        <v>30.28</v>
      </c>
      <c r="I72" s="70" cm="1">
        <f t="array" ref="I72">INDEX($D$5:$D$1012, F72)</f>
        <v>70932030</v>
      </c>
    </row>
    <row r="73" spans="2:9" x14ac:dyDescent="0.2">
      <c r="B73" s="62">
        <v>42636</v>
      </c>
      <c r="C73" s="72">
        <v>57.43</v>
      </c>
      <c r="D73" s="71">
        <v>19941140</v>
      </c>
      <c r="E73" s="66" t="s">
        <v>81</v>
      </c>
      <c r="F73" s="16">
        <f t="shared" si="7"/>
        <v>940</v>
      </c>
      <c r="G73" s="67" cm="1">
        <f t="array" ref="G73">INDEX($B$5:$B$1012, F73)</f>
        <v>41375</v>
      </c>
      <c r="H73" s="69" cm="1">
        <f t="array" ref="H73">INDEX($C$5:$C$1012, F73)</f>
        <v>28.934999999999999</v>
      </c>
      <c r="I73" s="70" cm="1">
        <f t="array" ref="I73">INDEX($D$5:$D$1012, F73)</f>
        <v>130892600</v>
      </c>
    </row>
    <row r="74" spans="2:9" x14ac:dyDescent="0.2">
      <c r="B74" s="62">
        <v>42635</v>
      </c>
      <c r="C74" s="72">
        <v>57.82</v>
      </c>
      <c r="D74" s="71">
        <v>19821760</v>
      </c>
      <c r="E74" s="66" t="s">
        <v>81</v>
      </c>
      <c r="F74" s="16">
        <f t="shared" si="7"/>
        <v>939</v>
      </c>
      <c r="G74" s="67" cm="1">
        <f t="array" ref="G74">INDEX($B$5:$B$1012, F74)</f>
        <v>41376</v>
      </c>
      <c r="H74" s="69" cm="1">
        <f t="array" ref="H74">INDEX($C$5:$C$1012, F74)</f>
        <v>28.79</v>
      </c>
      <c r="I74" s="70" cm="1">
        <f t="array" ref="I74">INDEX($D$5:$D$1012, F74)</f>
        <v>62882260</v>
      </c>
    </row>
    <row r="75" spans="2:9" x14ac:dyDescent="0.2">
      <c r="B75" s="62">
        <v>42634</v>
      </c>
      <c r="C75" s="72">
        <v>57.76</v>
      </c>
      <c r="D75" s="71">
        <v>33623490</v>
      </c>
      <c r="E75" s="66" t="s">
        <v>81</v>
      </c>
      <c r="F75" s="16">
        <f t="shared" si="7"/>
        <v>938</v>
      </c>
      <c r="G75" s="67" cm="1">
        <f t="array" ref="G75">INDEX($B$5:$B$1012, F75)</f>
        <v>41379</v>
      </c>
      <c r="H75" s="69" cm="1">
        <f t="array" ref="H75">INDEX($C$5:$C$1012, F75)</f>
        <v>28.69</v>
      </c>
      <c r="I75" s="70" cm="1">
        <f t="array" ref="I75">INDEX($D$5:$D$1012, F75)</f>
        <v>56325190</v>
      </c>
    </row>
    <row r="76" spans="2:9" x14ac:dyDescent="0.2">
      <c r="B76" s="62">
        <v>42633</v>
      </c>
      <c r="C76" s="72">
        <v>56.81</v>
      </c>
      <c r="D76" s="71">
        <v>17347740</v>
      </c>
      <c r="E76" s="66" t="s">
        <v>81</v>
      </c>
      <c r="F76" s="16">
        <f t="shared" si="7"/>
        <v>937</v>
      </c>
      <c r="G76" s="67" cm="1">
        <f t="array" ref="G76">INDEX($B$5:$B$1012, F76)</f>
        <v>41380</v>
      </c>
      <c r="H76" s="69" cm="1">
        <f t="array" ref="H76">INDEX($C$5:$C$1012, F76)</f>
        <v>28.97</v>
      </c>
      <c r="I76" s="70" cm="1">
        <f t="array" ref="I76">INDEX($D$5:$D$1012, F76)</f>
        <v>52793550</v>
      </c>
    </row>
    <row r="77" spans="2:9" x14ac:dyDescent="0.2">
      <c r="B77" s="62">
        <v>42632</v>
      </c>
      <c r="C77" s="72">
        <v>56.93</v>
      </c>
      <c r="D77" s="71">
        <v>20919450</v>
      </c>
      <c r="E77" s="66" t="s">
        <v>81</v>
      </c>
      <c r="F77" s="16">
        <f t="shared" si="7"/>
        <v>936</v>
      </c>
      <c r="G77" s="67" cm="1">
        <f t="array" ref="G77">INDEX($B$5:$B$1012, F77)</f>
        <v>41381</v>
      </c>
      <c r="H77" s="69" cm="1">
        <f t="array" ref="H77">INDEX($C$5:$C$1012, F77)</f>
        <v>28.824999999999999</v>
      </c>
      <c r="I77" s="70" cm="1">
        <f t="array" ref="I77">INDEX($D$5:$D$1012, F77)</f>
        <v>52840240</v>
      </c>
    </row>
    <row r="78" spans="2:9" x14ac:dyDescent="0.2">
      <c r="B78" s="62">
        <v>42629</v>
      </c>
      <c r="C78" s="72">
        <v>57.25</v>
      </c>
      <c r="D78" s="71">
        <v>44603890</v>
      </c>
      <c r="E78" s="66" t="s">
        <v>81</v>
      </c>
      <c r="F78" s="16">
        <f t="shared" si="7"/>
        <v>935</v>
      </c>
      <c r="G78" s="67" cm="1">
        <f t="array" ref="G78">INDEX($B$5:$B$1012, F78)</f>
        <v>41382</v>
      </c>
      <c r="H78" s="69" cm="1">
        <f t="array" ref="H78">INDEX($C$5:$C$1012, F78)</f>
        <v>28.79</v>
      </c>
      <c r="I78" s="70" cm="1">
        <f t="array" ref="I78">INDEX($D$5:$D$1012, F78)</f>
        <v>56705180</v>
      </c>
    </row>
    <row r="79" spans="2:9" x14ac:dyDescent="0.2">
      <c r="B79" s="62">
        <v>42628</v>
      </c>
      <c r="C79" s="72">
        <v>57.19</v>
      </c>
      <c r="D79" s="71">
        <v>27049520</v>
      </c>
      <c r="E79" s="66" t="s">
        <v>81</v>
      </c>
      <c r="F79" s="16">
        <f t="shared" si="7"/>
        <v>934</v>
      </c>
      <c r="G79" s="67" cm="1">
        <f t="array" ref="G79">INDEX($B$5:$B$1012, F79)</f>
        <v>41383</v>
      </c>
      <c r="H79" s="69" cm="1">
        <f t="array" ref="H79">INDEX($C$5:$C$1012, F79)</f>
        <v>29.765000000000001</v>
      </c>
      <c r="I79" s="70" cm="1">
        <f t="array" ref="I79">INDEX($D$5:$D$1012, F79)</f>
        <v>99788820</v>
      </c>
    </row>
    <row r="80" spans="2:9" x14ac:dyDescent="0.2">
      <c r="B80" s="62">
        <v>42627</v>
      </c>
      <c r="C80" s="72">
        <v>56.26</v>
      </c>
      <c r="D80" s="71">
        <v>24265700</v>
      </c>
      <c r="E80" s="66" t="s">
        <v>81</v>
      </c>
      <c r="F80" s="16">
        <f t="shared" si="7"/>
        <v>933</v>
      </c>
      <c r="G80" s="67" cm="1">
        <f t="array" ref="G80">INDEX($B$5:$B$1012, F80)</f>
        <v>41386</v>
      </c>
      <c r="H80" s="69" cm="1">
        <f t="array" ref="H80">INDEX($C$5:$C$1012, F80)</f>
        <v>30.83</v>
      </c>
      <c r="I80" s="70" cm="1">
        <f t="array" ref="I80">INDEX($D$5:$D$1012, F80)</f>
        <v>137899300</v>
      </c>
    </row>
    <row r="81" spans="2:9" x14ac:dyDescent="0.2">
      <c r="B81" s="62">
        <v>42626</v>
      </c>
      <c r="C81" s="72">
        <v>56.53</v>
      </c>
      <c r="D81" s="71">
        <v>30062330</v>
      </c>
      <c r="E81" s="66" t="s">
        <v>81</v>
      </c>
      <c r="F81" s="16">
        <f t="shared" si="7"/>
        <v>932</v>
      </c>
      <c r="G81" s="67" cm="1">
        <f t="array" ref="G81">INDEX($B$5:$B$1012, F81)</f>
        <v>41387</v>
      </c>
      <c r="H81" s="69" cm="1">
        <f t="array" ref="H81">INDEX($C$5:$C$1012, F81)</f>
        <v>30.6</v>
      </c>
      <c r="I81" s="70" cm="1">
        <f t="array" ref="I81">INDEX($D$5:$D$1012, F81)</f>
        <v>59026610</v>
      </c>
    </row>
    <row r="82" spans="2:9" x14ac:dyDescent="0.2">
      <c r="B82" s="62">
        <v>42625</v>
      </c>
      <c r="C82" s="72">
        <v>57.05</v>
      </c>
      <c r="D82" s="71">
        <v>29266780</v>
      </c>
      <c r="E82" s="66" t="s">
        <v>81</v>
      </c>
      <c r="F82" s="16">
        <f t="shared" si="7"/>
        <v>931</v>
      </c>
      <c r="G82" s="67" cm="1">
        <f t="array" ref="G82">INDEX($B$5:$B$1012, F82)</f>
        <v>41388</v>
      </c>
      <c r="H82" s="69" cm="1">
        <f t="array" ref="H82">INDEX($C$5:$C$1012, F82)</f>
        <v>31.76</v>
      </c>
      <c r="I82" s="70" cm="1">
        <f t="array" ref="I82">INDEX($D$5:$D$1012, F82)</f>
        <v>90895310</v>
      </c>
    </row>
    <row r="83" spans="2:9" x14ac:dyDescent="0.2">
      <c r="B83" s="62">
        <v>42622</v>
      </c>
      <c r="C83" s="72">
        <v>56.21</v>
      </c>
      <c r="D83" s="71">
        <v>35026930</v>
      </c>
      <c r="E83" s="66" t="s">
        <v>81</v>
      </c>
      <c r="F83" s="16">
        <f t="shared" si="7"/>
        <v>930</v>
      </c>
      <c r="G83" s="67" cm="1">
        <f t="array" ref="G83">INDEX($B$5:$B$1012, F83)</f>
        <v>41389</v>
      </c>
      <c r="H83" s="69" cm="1">
        <f t="array" ref="H83">INDEX($C$5:$C$1012, F83)</f>
        <v>31.94</v>
      </c>
      <c r="I83" s="70" cm="1">
        <f t="array" ref="I83">INDEX($D$5:$D$1012, F83)</f>
        <v>110581800</v>
      </c>
    </row>
    <row r="84" spans="2:9" x14ac:dyDescent="0.2">
      <c r="B84" s="62">
        <v>42621</v>
      </c>
      <c r="C84" s="72">
        <v>57.43</v>
      </c>
      <c r="D84" s="71">
        <v>20109050</v>
      </c>
      <c r="E84" s="66" t="s">
        <v>81</v>
      </c>
      <c r="F84" s="16">
        <f t="shared" si="7"/>
        <v>929</v>
      </c>
      <c r="G84" s="67" cm="1">
        <f t="array" ref="G84">INDEX($B$5:$B$1012, F84)</f>
        <v>41390</v>
      </c>
      <c r="H84" s="69" cm="1">
        <f t="array" ref="H84">INDEX($C$5:$C$1012, F84)</f>
        <v>31.79</v>
      </c>
      <c r="I84" s="70" cm="1">
        <f t="array" ref="I84">INDEX($D$5:$D$1012, F84)</f>
        <v>47799180</v>
      </c>
    </row>
    <row r="85" spans="2:9" x14ac:dyDescent="0.2">
      <c r="B85" s="62">
        <v>42620</v>
      </c>
      <c r="C85" s="72">
        <v>57.66</v>
      </c>
      <c r="D85" s="71">
        <v>17484810</v>
      </c>
      <c r="E85" s="66" t="s">
        <v>81</v>
      </c>
      <c r="F85" s="16">
        <f t="shared" si="7"/>
        <v>928</v>
      </c>
      <c r="G85" s="67" cm="1">
        <f t="array" ref="G85">INDEX($B$5:$B$1012, F85)</f>
        <v>41393</v>
      </c>
      <c r="H85" s="69" cm="1">
        <f t="array" ref="H85">INDEX($C$5:$C$1012, F85)</f>
        <v>32.61</v>
      </c>
      <c r="I85" s="70" cm="1">
        <f t="array" ref="I85">INDEX($D$5:$D$1012, F85)</f>
        <v>58978430</v>
      </c>
    </row>
    <row r="86" spans="2:9" x14ac:dyDescent="0.2">
      <c r="B86" s="62">
        <v>42619</v>
      </c>
      <c r="C86" s="72">
        <v>57.61</v>
      </c>
      <c r="D86" s="71">
        <v>16264890</v>
      </c>
      <c r="E86" s="66" t="s">
        <v>81</v>
      </c>
      <c r="F86" s="16">
        <f t="shared" si="7"/>
        <v>927</v>
      </c>
      <c r="G86" s="67" cm="1">
        <f t="array" ref="G86">INDEX($B$5:$B$1012, F86)</f>
        <v>41394</v>
      </c>
      <c r="H86" s="69" cm="1">
        <f t="array" ref="H86">INDEX($C$5:$C$1012, F86)</f>
        <v>33.1</v>
      </c>
      <c r="I86" s="70" cm="1">
        <f t="array" ref="I86">INDEX($D$5:$D$1012, F86)</f>
        <v>75112220</v>
      </c>
    </row>
    <row r="87" spans="2:9" x14ac:dyDescent="0.2">
      <c r="B87" s="62">
        <v>42615</v>
      </c>
      <c r="C87" s="72">
        <v>57.67</v>
      </c>
      <c r="D87" s="71">
        <v>18897210</v>
      </c>
      <c r="E87" s="66" t="s">
        <v>81</v>
      </c>
      <c r="F87" s="16">
        <f t="shared" si="7"/>
        <v>926</v>
      </c>
      <c r="G87" s="67" cm="1">
        <f t="array" ref="G87">INDEX($B$5:$B$1012, F87)</f>
        <v>41395</v>
      </c>
      <c r="H87" s="69" cm="1">
        <f t="array" ref="H87">INDEX($C$5:$C$1012, F87)</f>
        <v>32.72</v>
      </c>
      <c r="I87" s="70" cm="1">
        <f t="array" ref="I87">INDEX($D$5:$D$1012, F87)</f>
        <v>54327480</v>
      </c>
    </row>
    <row r="88" spans="2:9" x14ac:dyDescent="0.2">
      <c r="B88" s="62">
        <v>42614</v>
      </c>
      <c r="C88" s="72">
        <v>57.59</v>
      </c>
      <c r="D88" s="71">
        <v>26053530</v>
      </c>
      <c r="E88" s="66" t="s">
        <v>81</v>
      </c>
      <c r="F88" s="16">
        <f t="shared" si="7"/>
        <v>925</v>
      </c>
      <c r="G88" s="67" cm="1">
        <f t="array" ref="G88">INDEX($B$5:$B$1012, F88)</f>
        <v>41396</v>
      </c>
      <c r="H88" s="69" cm="1">
        <f t="array" ref="H88">INDEX($C$5:$C$1012, F88)</f>
        <v>33.159999999999997</v>
      </c>
      <c r="I88" s="70" cm="1">
        <f t="array" ref="I88">INDEX($D$5:$D$1012, F88)</f>
        <v>46051240</v>
      </c>
    </row>
    <row r="89" spans="2:9" x14ac:dyDescent="0.2">
      <c r="B89" s="62">
        <v>42613</v>
      </c>
      <c r="C89" s="72">
        <v>57.46</v>
      </c>
      <c r="D89" s="71">
        <v>20844280</v>
      </c>
      <c r="E89" s="66" t="s">
        <v>81</v>
      </c>
      <c r="F89" s="16">
        <f t="shared" si="7"/>
        <v>924</v>
      </c>
      <c r="G89" s="67" cm="1">
        <f t="array" ref="G89">INDEX($B$5:$B$1012, F89)</f>
        <v>41397</v>
      </c>
      <c r="H89" s="69" cm="1">
        <f t="array" ref="H89">INDEX($C$5:$C$1012, F89)</f>
        <v>33.49</v>
      </c>
      <c r="I89" s="70" cm="1">
        <f t="array" ref="I89">INDEX($D$5:$D$1012, F89)</f>
        <v>46775070</v>
      </c>
    </row>
    <row r="90" spans="2:9" x14ac:dyDescent="0.2">
      <c r="B90" s="62">
        <v>42612</v>
      </c>
      <c r="C90" s="72">
        <v>57.89</v>
      </c>
      <c r="D90" s="71">
        <v>16900190</v>
      </c>
      <c r="E90" s="66" t="s">
        <v>81</v>
      </c>
      <c r="F90" s="16">
        <f t="shared" si="7"/>
        <v>923</v>
      </c>
      <c r="G90" s="67" cm="1">
        <f t="array" ref="G90">INDEX($B$5:$B$1012, F90)</f>
        <v>41400</v>
      </c>
      <c r="H90" s="69" cm="1">
        <f t="array" ref="H90">INDEX($C$5:$C$1012, F90)</f>
        <v>33.75</v>
      </c>
      <c r="I90" s="70" cm="1">
        <f t="array" ref="I90">INDEX($D$5:$D$1012, F90)</f>
        <v>40975890</v>
      </c>
    </row>
    <row r="91" spans="2:9" x14ac:dyDescent="0.2">
      <c r="B91" s="62">
        <v>42611</v>
      </c>
      <c r="C91" s="72">
        <v>58.1</v>
      </c>
      <c r="D91" s="71">
        <v>16388470</v>
      </c>
      <c r="E91" s="66" t="s">
        <v>81</v>
      </c>
      <c r="F91" s="16">
        <f t="shared" si="7"/>
        <v>922</v>
      </c>
      <c r="G91" s="67" cm="1">
        <f t="array" ref="G91">INDEX($B$5:$B$1012, F91)</f>
        <v>41401</v>
      </c>
      <c r="H91" s="69" cm="1">
        <f t="array" ref="H91">INDEX($C$5:$C$1012, F91)</f>
        <v>33.31</v>
      </c>
      <c r="I91" s="70" cm="1">
        <f t="array" ref="I91">INDEX($D$5:$D$1012, F91)</f>
        <v>42915760</v>
      </c>
    </row>
    <row r="92" spans="2:9" x14ac:dyDescent="0.2">
      <c r="B92" s="62">
        <v>42608</v>
      </c>
      <c r="C92" s="72">
        <v>58.03</v>
      </c>
      <c r="D92" s="71">
        <v>20935160</v>
      </c>
      <c r="E92" s="66" t="s">
        <v>81</v>
      </c>
      <c r="F92" s="16">
        <f t="shared" si="7"/>
        <v>921</v>
      </c>
      <c r="G92" s="67" cm="1">
        <f t="array" ref="G92">INDEX($B$5:$B$1012, F92)</f>
        <v>41402</v>
      </c>
      <c r="H92" s="69" cm="1">
        <f t="array" ref="H92">INDEX($C$5:$C$1012, F92)</f>
        <v>32.99</v>
      </c>
      <c r="I92" s="70" cm="1">
        <f t="array" ref="I92">INDEX($D$5:$D$1012, F92)</f>
        <v>51639890</v>
      </c>
    </row>
    <row r="93" spans="2:9" x14ac:dyDescent="0.2">
      <c r="B93" s="62">
        <v>42607</v>
      </c>
      <c r="C93" s="72">
        <v>58.17</v>
      </c>
      <c r="D93" s="71">
        <v>18551890</v>
      </c>
      <c r="E93" s="66" t="s">
        <v>81</v>
      </c>
      <c r="F93" s="16">
        <f t="shared" si="7"/>
        <v>920</v>
      </c>
      <c r="G93" s="67" cm="1">
        <f t="array" ref="G93">INDEX($B$5:$B$1012, F93)</f>
        <v>41403</v>
      </c>
      <c r="H93" s="69" cm="1">
        <f t="array" ref="H93">INDEX($C$5:$C$1012, F93)</f>
        <v>32.659999999999997</v>
      </c>
      <c r="I93" s="70" cm="1">
        <f t="array" ref="I93">INDEX($D$5:$D$1012, F93)</f>
        <v>46382110</v>
      </c>
    </row>
    <row r="94" spans="2:9" x14ac:dyDescent="0.2">
      <c r="B94" s="62">
        <v>42606</v>
      </c>
      <c r="C94" s="72">
        <v>57.95</v>
      </c>
      <c r="D94" s="71">
        <v>17118420</v>
      </c>
      <c r="E94" s="66" t="s">
        <v>81</v>
      </c>
      <c r="F94" s="16">
        <f t="shared" si="7"/>
        <v>919</v>
      </c>
      <c r="G94" s="67" cm="1">
        <f t="array" ref="G94">INDEX($B$5:$B$1012, F94)</f>
        <v>41404</v>
      </c>
      <c r="H94" s="69" cm="1">
        <f t="array" ref="H94">INDEX($C$5:$C$1012, F94)</f>
        <v>32.69</v>
      </c>
      <c r="I94" s="70" cm="1">
        <f t="array" ref="I94">INDEX($D$5:$D$1012, F94)</f>
        <v>36394100</v>
      </c>
    </row>
    <row r="95" spans="2:9" x14ac:dyDescent="0.2">
      <c r="B95" s="62">
        <v>42605</v>
      </c>
      <c r="C95" s="72">
        <v>57.89</v>
      </c>
      <c r="D95" s="71">
        <v>18722560</v>
      </c>
      <c r="E95" s="66" t="s">
        <v>81</v>
      </c>
      <c r="F95" s="16">
        <f t="shared" si="7"/>
        <v>918</v>
      </c>
      <c r="G95" s="67" cm="1">
        <f t="array" ref="G95">INDEX($B$5:$B$1012, F95)</f>
        <v>41407</v>
      </c>
      <c r="H95" s="69" cm="1">
        <f t="array" ref="H95">INDEX($C$5:$C$1012, F95)</f>
        <v>33.03</v>
      </c>
      <c r="I95" s="70" cm="1">
        <f t="array" ref="I95">INDEX($D$5:$D$1012, F95)</f>
        <v>36026370</v>
      </c>
    </row>
    <row r="96" spans="2:9" x14ac:dyDescent="0.2">
      <c r="B96" s="62">
        <v>42604</v>
      </c>
      <c r="C96" s="72">
        <v>57.67</v>
      </c>
      <c r="D96" s="71">
        <v>15215880</v>
      </c>
      <c r="E96" s="66" t="s">
        <v>81</v>
      </c>
      <c r="F96" s="16">
        <f t="shared" si="7"/>
        <v>917</v>
      </c>
      <c r="G96" s="67" cm="1">
        <f t="array" ref="G96">INDEX($B$5:$B$1012, F96)</f>
        <v>41408</v>
      </c>
      <c r="H96" s="69" cm="1">
        <f t="array" ref="H96">INDEX($C$5:$C$1012, F96)</f>
        <v>33.53</v>
      </c>
      <c r="I96" s="70" cm="1">
        <f t="array" ref="I96">INDEX($D$5:$D$1012, F96)</f>
        <v>56840640</v>
      </c>
    </row>
    <row r="97" spans="2:9" x14ac:dyDescent="0.2">
      <c r="B97" s="62">
        <v>42601</v>
      </c>
      <c r="C97" s="72">
        <v>57.62</v>
      </c>
      <c r="D97" s="71">
        <v>17271010</v>
      </c>
      <c r="E97" s="66" t="s">
        <v>81</v>
      </c>
      <c r="F97" s="16">
        <f t="shared" si="7"/>
        <v>916</v>
      </c>
      <c r="G97" s="67" cm="1">
        <f t="array" ref="G97">INDEX($B$5:$B$1012, F97)</f>
        <v>41409</v>
      </c>
      <c r="H97" s="69" cm="1">
        <f t="array" ref="H97">INDEX($C$5:$C$1012, F97)</f>
        <v>33.844999999999999</v>
      </c>
      <c r="I97" s="70" cm="1">
        <f t="array" ref="I97">INDEX($D$5:$D$1012, F97)</f>
        <v>46302980</v>
      </c>
    </row>
    <row r="98" spans="2:9" x14ac:dyDescent="0.2">
      <c r="B98" s="62">
        <v>42600</v>
      </c>
      <c r="C98" s="72">
        <v>57.6</v>
      </c>
      <c r="D98" s="71">
        <v>14211810</v>
      </c>
      <c r="E98" s="66" t="s">
        <v>81</v>
      </c>
      <c r="F98" s="16">
        <f t="shared" si="7"/>
        <v>915</v>
      </c>
      <c r="G98" s="67" cm="1">
        <f t="array" ref="G98">INDEX($B$5:$B$1012, F98)</f>
        <v>41410</v>
      </c>
      <c r="H98" s="69" cm="1">
        <f t="array" ref="H98">INDEX($C$5:$C$1012, F98)</f>
        <v>34.08</v>
      </c>
      <c r="I98" s="70" cm="1">
        <f t="array" ref="I98">INDEX($D$5:$D$1012, F98)</f>
        <v>59311070</v>
      </c>
    </row>
    <row r="99" spans="2:9" x14ac:dyDescent="0.2">
      <c r="B99" s="62">
        <v>42599</v>
      </c>
      <c r="C99" s="72">
        <v>57.56</v>
      </c>
      <c r="D99" s="71">
        <v>18798940</v>
      </c>
      <c r="E99" s="66" t="s">
        <v>81</v>
      </c>
      <c r="F99" s="16">
        <f t="shared" si="7"/>
        <v>914</v>
      </c>
      <c r="G99" s="67" cm="1">
        <f t="array" ref="G99">INDEX($B$5:$B$1012, F99)</f>
        <v>41411</v>
      </c>
      <c r="H99" s="69" cm="1">
        <f t="array" ref="H99">INDEX($C$5:$C$1012, F99)</f>
        <v>34.869999999999997</v>
      </c>
      <c r="I99" s="70" cm="1">
        <f t="array" ref="I99">INDEX($D$5:$D$1012, F99)</f>
        <v>60664610</v>
      </c>
    </row>
    <row r="100" spans="2:9" x14ac:dyDescent="0.2">
      <c r="B100" s="62">
        <v>42598</v>
      </c>
      <c r="C100" s="72">
        <v>57.44</v>
      </c>
      <c r="D100" s="71">
        <v>20452960</v>
      </c>
      <c r="E100" s="66" t="s">
        <v>81</v>
      </c>
      <c r="F100" s="16">
        <f t="shared" si="7"/>
        <v>913</v>
      </c>
      <c r="G100" s="67" cm="1">
        <f t="array" ref="G100">INDEX($B$5:$B$1012, F100)</f>
        <v>41414</v>
      </c>
      <c r="H100" s="69" cm="1">
        <f t="array" ref="H100">INDEX($C$5:$C$1012, F100)</f>
        <v>35.08</v>
      </c>
      <c r="I100" s="70" cm="1">
        <f t="array" ref="I100">INDEX($D$5:$D$1012, F100)</f>
        <v>54002050</v>
      </c>
    </row>
    <row r="101" spans="2:9" x14ac:dyDescent="0.2">
      <c r="B101" s="62">
        <v>42597</v>
      </c>
      <c r="C101" s="72">
        <v>58.12</v>
      </c>
      <c r="D101" s="71">
        <v>18764820</v>
      </c>
      <c r="E101" s="66" t="s">
        <v>81</v>
      </c>
      <c r="F101" s="16">
        <f t="shared" si="7"/>
        <v>912</v>
      </c>
      <c r="G101" s="67" cm="1">
        <f t="array" ref="G101">INDEX($B$5:$B$1012, F101)</f>
        <v>41415</v>
      </c>
      <c r="H101" s="69" cm="1">
        <f t="array" ref="H101">INDEX($C$5:$C$1012, F101)</f>
        <v>34.85</v>
      </c>
      <c r="I101" s="70" cm="1">
        <f t="array" ref="I101">INDEX($D$5:$D$1012, F101)</f>
        <v>48693060</v>
      </c>
    </row>
    <row r="102" spans="2:9" x14ac:dyDescent="0.2">
      <c r="B102" s="62">
        <v>42594</v>
      </c>
      <c r="C102" s="72">
        <v>57.94</v>
      </c>
      <c r="D102" s="71">
        <v>21646690</v>
      </c>
      <c r="E102" s="66" t="s">
        <v>81</v>
      </c>
      <c r="F102" s="16">
        <f t="shared" si="7"/>
        <v>911</v>
      </c>
      <c r="G102" s="67" cm="1">
        <f t="array" ref="G102">INDEX($B$5:$B$1012, F102)</f>
        <v>41416</v>
      </c>
      <c r="H102" s="69" cm="1">
        <f t="array" ref="H102">INDEX($C$5:$C$1012, F102)</f>
        <v>34.61</v>
      </c>
      <c r="I102" s="70" cm="1">
        <f t="array" ref="I102">INDEX($D$5:$D$1012, F102)</f>
        <v>66038450</v>
      </c>
    </row>
    <row r="103" spans="2:9" x14ac:dyDescent="0.2">
      <c r="B103" s="62">
        <v>42593</v>
      </c>
      <c r="C103" s="72">
        <v>58.3</v>
      </c>
      <c r="D103" s="71">
        <v>18161190</v>
      </c>
      <c r="E103" s="66" t="s">
        <v>81</v>
      </c>
      <c r="F103" s="16">
        <f t="shared" si="7"/>
        <v>910</v>
      </c>
      <c r="G103" s="67" cm="1">
        <f t="array" ref="G103">INDEX($B$5:$B$1012, F103)</f>
        <v>41417</v>
      </c>
      <c r="H103" s="69" cm="1">
        <f t="array" ref="H103">INDEX($C$5:$C$1012, F103)</f>
        <v>34.15</v>
      </c>
      <c r="I103" s="70" cm="1">
        <f t="array" ref="I103">INDEX($D$5:$D$1012, F103)</f>
        <v>51101690</v>
      </c>
    </row>
    <row r="104" spans="2:9" x14ac:dyDescent="0.2">
      <c r="B104" s="62">
        <v>42592</v>
      </c>
      <c r="C104" s="72">
        <v>58.02</v>
      </c>
      <c r="D104" s="71">
        <v>15702720</v>
      </c>
      <c r="E104" s="66" t="s">
        <v>81</v>
      </c>
      <c r="F104" s="16">
        <f t="shared" si="7"/>
        <v>909</v>
      </c>
      <c r="G104" s="67" cm="1">
        <f t="array" ref="G104">INDEX($B$5:$B$1012, F104)</f>
        <v>41418</v>
      </c>
      <c r="H104" s="69" cm="1">
        <f t="array" ref="H104">INDEX($C$5:$C$1012, F104)</f>
        <v>34.268999999999998</v>
      </c>
      <c r="I104" s="70" cm="1">
        <f t="array" ref="I104">INDEX($D$5:$D$1012, F104)</f>
        <v>33174300</v>
      </c>
    </row>
    <row r="105" spans="2:9" x14ac:dyDescent="0.2">
      <c r="B105" s="62">
        <v>42591</v>
      </c>
      <c r="C105" s="72">
        <v>58.2</v>
      </c>
      <c r="D105" s="71">
        <v>16891750</v>
      </c>
      <c r="E105" s="66" t="s">
        <v>81</v>
      </c>
      <c r="F105" s="16">
        <f t="shared" si="7"/>
        <v>908</v>
      </c>
      <c r="G105" s="67" cm="1">
        <f t="array" ref="G105">INDEX($B$5:$B$1012, F105)</f>
        <v>41422</v>
      </c>
      <c r="H105" s="69" cm="1">
        <f t="array" ref="H105">INDEX($C$5:$C$1012, F105)</f>
        <v>35.020000000000003</v>
      </c>
      <c r="I105" s="70" cm="1">
        <f t="array" ref="I105">INDEX($D$5:$D$1012, F105)</f>
        <v>48210220</v>
      </c>
    </row>
    <row r="106" spans="2:9" x14ac:dyDescent="0.2">
      <c r="B106" s="62">
        <v>42590</v>
      </c>
      <c r="C106" s="72">
        <v>58.06</v>
      </c>
      <c r="D106" s="71">
        <v>19459340</v>
      </c>
      <c r="E106" s="66" t="s">
        <v>81</v>
      </c>
      <c r="F106" s="16">
        <f t="shared" si="7"/>
        <v>907</v>
      </c>
      <c r="G106" s="67" cm="1">
        <f t="array" ref="G106">INDEX($B$5:$B$1012, F106)</f>
        <v>41423</v>
      </c>
      <c r="H106" s="69" cm="1">
        <f t="array" ref="H106">INDEX($C$5:$C$1012, F106)</f>
        <v>34.880000000000003</v>
      </c>
      <c r="I106" s="70" cm="1">
        <f t="array" ref="I106">INDEX($D$5:$D$1012, F106)</f>
        <v>38387660</v>
      </c>
    </row>
    <row r="107" spans="2:9" x14ac:dyDescent="0.2">
      <c r="B107" s="62">
        <v>42587</v>
      </c>
      <c r="C107" s="72">
        <v>57.96</v>
      </c>
      <c r="D107" s="71">
        <v>28804780</v>
      </c>
      <c r="E107" s="66" t="s">
        <v>81</v>
      </c>
      <c r="F107" s="16">
        <f t="shared" si="7"/>
        <v>906</v>
      </c>
      <c r="G107" s="67" cm="1">
        <f t="array" ref="G107">INDEX($B$5:$B$1012, F107)</f>
        <v>41424</v>
      </c>
      <c r="H107" s="69" cm="1">
        <f t="array" ref="H107">INDEX($C$5:$C$1012, F107)</f>
        <v>35.03</v>
      </c>
      <c r="I107" s="70" cm="1">
        <f t="array" ref="I107">INDEX($D$5:$D$1012, F107)</f>
        <v>51130810</v>
      </c>
    </row>
    <row r="108" spans="2:9" x14ac:dyDescent="0.2">
      <c r="B108" s="62">
        <v>42586</v>
      </c>
      <c r="C108" s="72">
        <v>57.39</v>
      </c>
      <c r="D108" s="71">
        <v>26485600</v>
      </c>
      <c r="E108" s="66" t="s">
        <v>81</v>
      </c>
      <c r="F108" s="16">
        <f t="shared" si="7"/>
        <v>905</v>
      </c>
      <c r="G108" s="67" cm="1">
        <f t="array" ref="G108">INDEX($B$5:$B$1012, F108)</f>
        <v>41425</v>
      </c>
      <c r="H108" s="69" cm="1">
        <f t="array" ref="H108">INDEX($C$5:$C$1012, F108)</f>
        <v>34.9</v>
      </c>
      <c r="I108" s="70" cm="1">
        <f t="array" ref="I108">INDEX($D$5:$D$1012, F108)</f>
        <v>56158900</v>
      </c>
    </row>
    <row r="109" spans="2:9" x14ac:dyDescent="0.2">
      <c r="B109" s="62">
        <v>42585</v>
      </c>
      <c r="C109" s="72">
        <v>56.97</v>
      </c>
      <c r="D109" s="71">
        <v>22069790</v>
      </c>
      <c r="E109" s="66" t="s">
        <v>81</v>
      </c>
      <c r="F109" s="16">
        <f t="shared" si="7"/>
        <v>904</v>
      </c>
      <c r="G109" s="67" cm="1">
        <f t="array" ref="G109">INDEX($B$5:$B$1012, F109)</f>
        <v>41428</v>
      </c>
      <c r="H109" s="69" cm="1">
        <f t="array" ref="H109">INDEX($C$5:$C$1012, F109)</f>
        <v>35.590000000000003</v>
      </c>
      <c r="I109" s="70" cm="1">
        <f t="array" ref="I109">INDEX($D$5:$D$1012, F109)</f>
        <v>51248890</v>
      </c>
    </row>
    <row r="110" spans="2:9" x14ac:dyDescent="0.2">
      <c r="B110" s="62">
        <v>42584</v>
      </c>
      <c r="C110" s="72">
        <v>56.58</v>
      </c>
      <c r="D110" s="71">
        <v>35115250</v>
      </c>
      <c r="E110" s="66" t="s">
        <v>81</v>
      </c>
      <c r="F110" s="16">
        <f t="shared" si="7"/>
        <v>903</v>
      </c>
      <c r="G110" s="67" cm="1">
        <f t="array" ref="G110">INDEX($B$5:$B$1012, F110)</f>
        <v>41429</v>
      </c>
      <c r="H110" s="69" cm="1">
        <f t="array" ref="H110">INDEX($C$5:$C$1012, F110)</f>
        <v>34.99</v>
      </c>
      <c r="I110" s="70" cm="1">
        <f t="array" ref="I110">INDEX($D$5:$D$1012, F110)</f>
        <v>65528500</v>
      </c>
    </row>
    <row r="111" spans="2:9" x14ac:dyDescent="0.2">
      <c r="B111" s="62">
        <v>42583</v>
      </c>
      <c r="C111" s="72">
        <v>56.58</v>
      </c>
      <c r="D111" s="71">
        <v>26003110</v>
      </c>
      <c r="E111" s="66" t="s">
        <v>81</v>
      </c>
      <c r="F111" s="16">
        <f t="shared" si="7"/>
        <v>902</v>
      </c>
      <c r="G111" s="67" cm="1">
        <f t="array" ref="G111">INDEX($B$5:$B$1012, F111)</f>
        <v>41430</v>
      </c>
      <c r="H111" s="69" cm="1">
        <f t="array" ref="H111">INDEX($C$5:$C$1012, F111)</f>
        <v>34.78</v>
      </c>
      <c r="I111" s="70" cm="1">
        <f t="array" ref="I111">INDEX($D$5:$D$1012, F111)</f>
        <v>46023860</v>
      </c>
    </row>
    <row r="112" spans="2:9" x14ac:dyDescent="0.2">
      <c r="B112" s="62">
        <v>42580</v>
      </c>
      <c r="C112" s="72">
        <v>56.68</v>
      </c>
      <c r="D112" s="71">
        <v>30556950</v>
      </c>
      <c r="E112" s="66" t="s">
        <v>81</v>
      </c>
      <c r="F112" s="16">
        <f t="shared" si="7"/>
        <v>901</v>
      </c>
      <c r="G112" s="67" cm="1">
        <f t="array" ref="G112">INDEX($B$5:$B$1012, F112)</f>
        <v>41431</v>
      </c>
      <c r="H112" s="69" cm="1">
        <f t="array" ref="H112">INDEX($C$5:$C$1012, F112)</f>
        <v>34.96</v>
      </c>
      <c r="I112" s="70" cm="1">
        <f t="array" ref="I112">INDEX($D$5:$D$1012, F112)</f>
        <v>37617750</v>
      </c>
    </row>
    <row r="113" spans="2:9" x14ac:dyDescent="0.2">
      <c r="B113" s="62">
        <v>42579</v>
      </c>
      <c r="C113" s="72">
        <v>56.21</v>
      </c>
      <c r="D113" s="71">
        <v>37246140</v>
      </c>
      <c r="E113" s="66" t="s">
        <v>81</v>
      </c>
      <c r="F113" s="16">
        <f t="shared" si="7"/>
        <v>900</v>
      </c>
      <c r="G113" s="67" cm="1">
        <f t="array" ref="G113">INDEX($B$5:$B$1012, F113)</f>
        <v>41432</v>
      </c>
      <c r="H113" s="69" cm="1">
        <f t="array" ref="H113">INDEX($C$5:$C$1012, F113)</f>
        <v>35.67</v>
      </c>
      <c r="I113" s="70" cm="1">
        <f t="array" ref="I113">INDEX($D$5:$D$1012, F113)</f>
        <v>40757250</v>
      </c>
    </row>
    <row r="114" spans="2:9" x14ac:dyDescent="0.2">
      <c r="B114" s="62">
        <v>42578</v>
      </c>
      <c r="C114" s="72">
        <v>56.19</v>
      </c>
      <c r="D114" s="71">
        <v>32283520</v>
      </c>
      <c r="E114" s="66" t="s">
        <v>81</v>
      </c>
      <c r="F114" s="16">
        <f t="shared" si="7"/>
        <v>899</v>
      </c>
      <c r="G114" s="67" cm="1">
        <f t="array" ref="G114">INDEX($B$5:$B$1012, F114)</f>
        <v>41435</v>
      </c>
      <c r="H114" s="69" cm="1">
        <f t="array" ref="H114">INDEX($C$5:$C$1012, F114)</f>
        <v>35.47</v>
      </c>
      <c r="I114" s="70" cm="1">
        <f t="array" ref="I114">INDEX($D$5:$D$1012, F114)</f>
        <v>35991610</v>
      </c>
    </row>
    <row r="115" spans="2:9" x14ac:dyDescent="0.2">
      <c r="B115" s="62">
        <v>42577</v>
      </c>
      <c r="C115" s="72">
        <v>56.76</v>
      </c>
      <c r="D115" s="71">
        <v>28028820</v>
      </c>
      <c r="E115" s="66" t="s">
        <v>81</v>
      </c>
      <c r="F115" s="16">
        <f t="shared" si="7"/>
        <v>898</v>
      </c>
      <c r="G115" s="67" cm="1">
        <f t="array" ref="G115">INDEX($B$5:$B$1012, F115)</f>
        <v>41436</v>
      </c>
      <c r="H115" s="69" cm="1">
        <f t="array" ref="H115">INDEX($C$5:$C$1012, F115)</f>
        <v>34.840000000000003</v>
      </c>
      <c r="I115" s="70" cm="1">
        <f t="array" ref="I115">INDEX($D$5:$D$1012, F115)</f>
        <v>39435450</v>
      </c>
    </row>
    <row r="116" spans="2:9" x14ac:dyDescent="0.2">
      <c r="B116" s="62">
        <v>42576</v>
      </c>
      <c r="C116" s="72">
        <v>56.73</v>
      </c>
      <c r="D116" s="71">
        <v>24313330</v>
      </c>
      <c r="E116" s="66" t="s">
        <v>81</v>
      </c>
      <c r="F116" s="16">
        <f t="shared" si="7"/>
        <v>897</v>
      </c>
      <c r="G116" s="67" cm="1">
        <f t="array" ref="G116">INDEX($B$5:$B$1012, F116)</f>
        <v>41437</v>
      </c>
      <c r="H116" s="69" cm="1">
        <f t="array" ref="H116">INDEX($C$5:$C$1012, F116)</f>
        <v>35</v>
      </c>
      <c r="I116" s="70" cm="1">
        <f t="array" ref="I116">INDEX($D$5:$D$1012, F116)</f>
        <v>37371180</v>
      </c>
    </row>
    <row r="117" spans="2:9" x14ac:dyDescent="0.2">
      <c r="B117" s="62">
        <v>42573</v>
      </c>
      <c r="C117" s="72">
        <v>56.57</v>
      </c>
      <c r="D117" s="71">
        <v>31900840</v>
      </c>
      <c r="E117" s="66" t="s">
        <v>81</v>
      </c>
      <c r="F117" s="16">
        <f t="shared" si="7"/>
        <v>896</v>
      </c>
      <c r="G117" s="67" cm="1">
        <f t="array" ref="G117">INDEX($B$5:$B$1012, F117)</f>
        <v>41438</v>
      </c>
      <c r="H117" s="69" cm="1">
        <f t="array" ref="H117">INDEX($C$5:$C$1012, F117)</f>
        <v>34.715000000000003</v>
      </c>
      <c r="I117" s="70" cm="1">
        <f t="array" ref="I117">INDEX($D$5:$D$1012, F117)</f>
        <v>45634880</v>
      </c>
    </row>
    <row r="118" spans="2:9" x14ac:dyDescent="0.2">
      <c r="B118" s="62">
        <v>42572</v>
      </c>
      <c r="C118" s="72">
        <v>55.8</v>
      </c>
      <c r="D118" s="71">
        <v>32752350</v>
      </c>
      <c r="E118" s="66" t="s">
        <v>81</v>
      </c>
      <c r="F118" s="16">
        <f t="shared" si="7"/>
        <v>895</v>
      </c>
      <c r="G118" s="67" cm="1">
        <f t="array" ref="G118">INDEX($B$5:$B$1012, F118)</f>
        <v>41439</v>
      </c>
      <c r="H118" s="69" cm="1">
        <f t="array" ref="H118">INDEX($C$5:$C$1012, F118)</f>
        <v>34.4</v>
      </c>
      <c r="I118" s="70" cm="1">
        <f t="array" ref="I118">INDEX($D$5:$D$1012, F118)</f>
        <v>53188610</v>
      </c>
    </row>
    <row r="119" spans="2:9" x14ac:dyDescent="0.2">
      <c r="B119" s="62">
        <v>42571</v>
      </c>
      <c r="C119" s="72">
        <v>55.91</v>
      </c>
      <c r="D119" s="71">
        <v>89835200</v>
      </c>
      <c r="E119" s="66" t="s">
        <v>81</v>
      </c>
      <c r="F119" s="16">
        <f t="shared" si="7"/>
        <v>894</v>
      </c>
      <c r="G119" s="67" cm="1">
        <f t="array" ref="G119">INDEX($B$5:$B$1012, F119)</f>
        <v>41442</v>
      </c>
      <c r="H119" s="69" cm="1">
        <f t="array" ref="H119">INDEX($C$5:$C$1012, F119)</f>
        <v>35</v>
      </c>
      <c r="I119" s="70" cm="1">
        <f t="array" ref="I119">INDEX($D$5:$D$1012, F119)</f>
        <v>49670030</v>
      </c>
    </row>
    <row r="120" spans="2:9" x14ac:dyDescent="0.2">
      <c r="B120" s="62">
        <v>42570</v>
      </c>
      <c r="C120" s="72">
        <v>53.09</v>
      </c>
      <c r="D120" s="71">
        <v>51870970</v>
      </c>
      <c r="E120" s="66" t="s">
        <v>81</v>
      </c>
      <c r="F120" s="16">
        <f t="shared" si="7"/>
        <v>893</v>
      </c>
      <c r="G120" s="67" cm="1">
        <f t="array" ref="G120">INDEX($B$5:$B$1012, F120)</f>
        <v>41443</v>
      </c>
      <c r="H120" s="69" cm="1">
        <f t="array" ref="H120">INDEX($C$5:$C$1012, F120)</f>
        <v>34.979999999999997</v>
      </c>
      <c r="I120" s="70" cm="1">
        <f t="array" ref="I120">INDEX($D$5:$D$1012, F120)</f>
        <v>28193470</v>
      </c>
    </row>
    <row r="121" spans="2:9" x14ac:dyDescent="0.2">
      <c r="B121" s="62">
        <v>42569</v>
      </c>
      <c r="C121" s="72">
        <v>53.96</v>
      </c>
      <c r="D121" s="71">
        <v>31087650</v>
      </c>
      <c r="E121" s="66" t="s">
        <v>81</v>
      </c>
      <c r="F121" s="16">
        <f t="shared" si="7"/>
        <v>892</v>
      </c>
      <c r="G121" s="67" cm="1">
        <f t="array" ref="G121">INDEX($B$5:$B$1012, F121)</f>
        <v>41444</v>
      </c>
      <c r="H121" s="69" cm="1">
        <f t="array" ref="H121">INDEX($C$5:$C$1012, F121)</f>
        <v>34.590000000000003</v>
      </c>
      <c r="I121" s="70" cm="1">
        <f t="array" ref="I121">INDEX($D$5:$D$1012, F121)</f>
        <v>30810410</v>
      </c>
    </row>
    <row r="122" spans="2:9" x14ac:dyDescent="0.2">
      <c r="B122" s="62">
        <v>42566</v>
      </c>
      <c r="C122" s="72">
        <v>53.7</v>
      </c>
      <c r="D122" s="71">
        <v>31986450</v>
      </c>
      <c r="E122" s="66" t="s">
        <v>81</v>
      </c>
      <c r="F122" s="16">
        <f t="shared" si="7"/>
        <v>891</v>
      </c>
      <c r="G122" s="67" cm="1">
        <f t="array" ref="G122">INDEX($B$5:$B$1012, F122)</f>
        <v>41445</v>
      </c>
      <c r="H122" s="69" cm="1">
        <f t="array" ref="H122">INDEX($C$5:$C$1012, F122)</f>
        <v>33.49</v>
      </c>
      <c r="I122" s="70" cm="1">
        <f t="array" ref="I122">INDEX($D$5:$D$1012, F122)</f>
        <v>52536420</v>
      </c>
    </row>
    <row r="123" spans="2:9" x14ac:dyDescent="0.2">
      <c r="B123" s="62">
        <v>42565</v>
      </c>
      <c r="C123" s="72">
        <v>53.74</v>
      </c>
      <c r="D123" s="71">
        <v>24535370</v>
      </c>
      <c r="E123" s="66" t="s">
        <v>81</v>
      </c>
      <c r="F123" s="16">
        <f t="shared" si="7"/>
        <v>890</v>
      </c>
      <c r="G123" s="67" cm="1">
        <f t="array" ref="G123">INDEX($B$5:$B$1012, F123)</f>
        <v>41446</v>
      </c>
      <c r="H123" s="69" cm="1">
        <f t="array" ref="H123">INDEX($C$5:$C$1012, F123)</f>
        <v>33.265000000000001</v>
      </c>
      <c r="I123" s="70" cm="1">
        <f t="array" ref="I123">INDEX($D$5:$D$1012, F123)</f>
        <v>85337340</v>
      </c>
    </row>
    <row r="124" spans="2:9" x14ac:dyDescent="0.2">
      <c r="B124" s="62">
        <v>42564</v>
      </c>
      <c r="C124" s="72">
        <v>53.51</v>
      </c>
      <c r="D124" s="71">
        <v>25334860</v>
      </c>
      <c r="E124" s="66" t="s">
        <v>81</v>
      </c>
      <c r="F124" s="16">
        <f t="shared" si="7"/>
        <v>889</v>
      </c>
      <c r="G124" s="67" cm="1">
        <f t="array" ref="G124">INDEX($B$5:$B$1012, F124)</f>
        <v>41449</v>
      </c>
      <c r="H124" s="69" cm="1">
        <f t="array" ref="H124">INDEX($C$5:$C$1012, F124)</f>
        <v>33.715000000000003</v>
      </c>
      <c r="I124" s="70" cm="1">
        <f t="array" ref="I124">INDEX($D$5:$D$1012, F124)</f>
        <v>56104910</v>
      </c>
    </row>
    <row r="125" spans="2:9" x14ac:dyDescent="0.2">
      <c r="B125" s="62">
        <v>42563</v>
      </c>
      <c r="C125" s="72">
        <v>53.21</v>
      </c>
      <c r="D125" s="71">
        <v>27312600</v>
      </c>
      <c r="E125" s="66" t="s">
        <v>81</v>
      </c>
      <c r="F125" s="16">
        <f t="shared" si="7"/>
        <v>888</v>
      </c>
      <c r="G125" s="67" cm="1">
        <f t="array" ref="G125">INDEX($B$5:$B$1012, F125)</f>
        <v>41450</v>
      </c>
      <c r="H125" s="69" cm="1">
        <f t="array" ref="H125">INDEX($C$5:$C$1012, F125)</f>
        <v>33.67</v>
      </c>
      <c r="I125" s="70" cm="1">
        <f t="array" ref="I125">INDEX($D$5:$D$1012, F125)</f>
        <v>44050890</v>
      </c>
    </row>
    <row r="126" spans="2:9" x14ac:dyDescent="0.2">
      <c r="B126" s="62">
        <v>42562</v>
      </c>
      <c r="C126" s="72">
        <v>52.59</v>
      </c>
      <c r="D126" s="71">
        <v>21894550</v>
      </c>
      <c r="E126" s="66" t="s">
        <v>81</v>
      </c>
      <c r="F126" s="16">
        <f t="shared" si="7"/>
        <v>887</v>
      </c>
      <c r="G126" s="67" cm="1">
        <f t="array" ref="G126">INDEX($B$5:$B$1012, F126)</f>
        <v>41451</v>
      </c>
      <c r="H126" s="69" cm="1">
        <f t="array" ref="H126">INDEX($C$5:$C$1012, F126)</f>
        <v>34.35</v>
      </c>
      <c r="I126" s="70" cm="1">
        <f t="array" ref="I126">INDEX($D$5:$D$1012, F126)</f>
        <v>48665440</v>
      </c>
    </row>
    <row r="127" spans="2:9" x14ac:dyDescent="0.2">
      <c r="B127" s="62">
        <v>42559</v>
      </c>
      <c r="C127" s="72">
        <v>52.3</v>
      </c>
      <c r="D127" s="71">
        <v>28390820</v>
      </c>
      <c r="E127" s="66" t="s">
        <v>81</v>
      </c>
      <c r="F127" s="16">
        <f t="shared" si="7"/>
        <v>886</v>
      </c>
      <c r="G127" s="67" cm="1">
        <f t="array" ref="G127">INDEX($B$5:$B$1012, F127)</f>
        <v>41452</v>
      </c>
      <c r="H127" s="69" cm="1">
        <f t="array" ref="H127">INDEX($C$5:$C$1012, F127)</f>
        <v>34.619999999999997</v>
      </c>
      <c r="I127" s="70" cm="1">
        <f t="array" ref="I127">INDEX($D$5:$D$1012, F127)</f>
        <v>28989490</v>
      </c>
    </row>
    <row r="128" spans="2:9" x14ac:dyDescent="0.2">
      <c r="B128" s="62">
        <v>42558</v>
      </c>
      <c r="C128" s="72">
        <v>51.38</v>
      </c>
      <c r="D128" s="71">
        <v>19582210</v>
      </c>
      <c r="E128" s="66" t="s">
        <v>81</v>
      </c>
      <c r="F128" s="16">
        <f t="shared" si="7"/>
        <v>885</v>
      </c>
      <c r="G128" s="67" cm="1">
        <f t="array" ref="G128">INDEX($B$5:$B$1012, F128)</f>
        <v>41453</v>
      </c>
      <c r="H128" s="69" cm="1">
        <f t="array" ref="H128">INDEX($C$5:$C$1012, F128)</f>
        <v>34.545000000000002</v>
      </c>
      <c r="I128" s="70" cm="1">
        <f t="array" ref="I128">INDEX($D$5:$D$1012, F128)</f>
        <v>65544350</v>
      </c>
    </row>
    <row r="129" spans="2:9" x14ac:dyDescent="0.2">
      <c r="B129" s="62">
        <v>42557</v>
      </c>
      <c r="C129" s="72">
        <v>51.38</v>
      </c>
      <c r="D129" s="71">
        <v>28165990</v>
      </c>
      <c r="E129" s="66" t="s">
        <v>81</v>
      </c>
      <c r="F129" s="16">
        <f t="shared" si="7"/>
        <v>884</v>
      </c>
      <c r="G129" s="67" cm="1">
        <f t="array" ref="G129">INDEX($B$5:$B$1012, F129)</f>
        <v>41456</v>
      </c>
      <c r="H129" s="69" cm="1">
        <f t="array" ref="H129">INDEX($C$5:$C$1012, F129)</f>
        <v>34.36</v>
      </c>
      <c r="I129" s="70" cm="1">
        <f t="array" ref="I129">INDEX($D$5:$D$1012, F129)</f>
        <v>31053200</v>
      </c>
    </row>
    <row r="130" spans="2:9" x14ac:dyDescent="0.2">
      <c r="B130" s="62">
        <v>42556</v>
      </c>
      <c r="C130" s="72">
        <v>51.17</v>
      </c>
      <c r="D130" s="71">
        <v>24781550</v>
      </c>
      <c r="E130" s="66" t="s">
        <v>81</v>
      </c>
      <c r="F130" s="16">
        <f t="shared" si="7"/>
        <v>883</v>
      </c>
      <c r="G130" s="67" cm="1">
        <f t="array" ref="G130">INDEX($B$5:$B$1012, F130)</f>
        <v>41457</v>
      </c>
      <c r="H130" s="69" cm="1">
        <f t="array" ref="H130">INDEX($C$5:$C$1012, F130)</f>
        <v>33.94</v>
      </c>
      <c r="I130" s="70" cm="1">
        <f t="array" ref="I130">INDEX($D$5:$D$1012, F130)</f>
        <v>37629320</v>
      </c>
    </row>
    <row r="131" spans="2:9" x14ac:dyDescent="0.2">
      <c r="B131" s="62">
        <v>42552</v>
      </c>
      <c r="C131" s="72">
        <v>51.16</v>
      </c>
      <c r="D131" s="71">
        <v>21398770</v>
      </c>
      <c r="E131" s="66" t="s">
        <v>81</v>
      </c>
      <c r="F131" s="16">
        <f t="shared" si="7"/>
        <v>882</v>
      </c>
      <c r="G131" s="67" cm="1">
        <f t="array" ref="G131">INDEX($B$5:$B$1012, F131)</f>
        <v>41458</v>
      </c>
      <c r="H131" s="69" cm="1">
        <f t="array" ref="H131">INDEX($C$5:$C$1012, F131)</f>
        <v>34.01</v>
      </c>
      <c r="I131" s="70" cm="1">
        <f t="array" ref="I131">INDEX($D$5:$D$1012, F131)</f>
        <v>15994380</v>
      </c>
    </row>
    <row r="132" spans="2:9" x14ac:dyDescent="0.2">
      <c r="B132" s="62">
        <v>42551</v>
      </c>
      <c r="C132" s="72">
        <v>51.17</v>
      </c>
      <c r="D132" s="71">
        <v>28524020</v>
      </c>
      <c r="E132" s="66" t="s">
        <v>81</v>
      </c>
      <c r="F132" s="16">
        <f t="shared" si="7"/>
        <v>881</v>
      </c>
      <c r="G132" s="67" cm="1">
        <f t="array" ref="G132">INDEX($B$5:$B$1012, F132)</f>
        <v>41460</v>
      </c>
      <c r="H132" s="69" cm="1">
        <f t="array" ref="H132">INDEX($C$5:$C$1012, F132)</f>
        <v>34.21</v>
      </c>
      <c r="I132" s="70" cm="1">
        <f t="array" ref="I132">INDEX($D$5:$D$1012, F132)</f>
        <v>26085600</v>
      </c>
    </row>
    <row r="133" spans="2:9" x14ac:dyDescent="0.2">
      <c r="B133" s="62">
        <v>42550</v>
      </c>
      <c r="C133" s="72">
        <v>50.54</v>
      </c>
      <c r="D133" s="71">
        <v>31287260</v>
      </c>
      <c r="E133" s="66" t="s">
        <v>81</v>
      </c>
      <c r="F133" s="16">
        <f t="shared" si="7"/>
        <v>880</v>
      </c>
      <c r="G133" s="67" cm="1">
        <f t="array" ref="G133">INDEX($B$5:$B$1012, F133)</f>
        <v>41463</v>
      </c>
      <c r="H133" s="69" cm="1">
        <f t="array" ref="H133">INDEX($C$5:$C$1012, F133)</f>
        <v>34.325000000000003</v>
      </c>
      <c r="I133" s="70" cm="1">
        <f t="array" ref="I133">INDEX($D$5:$D$1012, F133)</f>
        <v>32357160</v>
      </c>
    </row>
    <row r="134" spans="2:9" x14ac:dyDescent="0.2">
      <c r="B134" s="62">
        <v>42549</v>
      </c>
      <c r="C134" s="72">
        <v>49.44</v>
      </c>
      <c r="D134" s="71">
        <v>38132040</v>
      </c>
      <c r="E134" s="66" t="s">
        <v>81</v>
      </c>
      <c r="F134" s="16">
        <f t="shared" ref="F134:F197" si="8">COUNT(B134:B1141)</f>
        <v>879</v>
      </c>
      <c r="G134" s="67" cm="1">
        <f t="array" ref="G134">INDEX($B$5:$B$1012, F134)</f>
        <v>41464</v>
      </c>
      <c r="H134" s="69" cm="1">
        <f t="array" ref="H134">INDEX($C$5:$C$1012, F134)</f>
        <v>34.35</v>
      </c>
      <c r="I134" s="70" cm="1">
        <f t="array" ref="I134">INDEX($D$5:$D$1012, F134)</f>
        <v>25318500</v>
      </c>
    </row>
    <row r="135" spans="2:9" x14ac:dyDescent="0.2">
      <c r="B135" s="62">
        <v>42548</v>
      </c>
      <c r="C135" s="72">
        <v>48.43</v>
      </c>
      <c r="D135" s="71">
        <v>50308070</v>
      </c>
      <c r="E135" s="66" t="s">
        <v>81</v>
      </c>
      <c r="F135" s="16">
        <f t="shared" si="8"/>
        <v>878</v>
      </c>
      <c r="G135" s="67" cm="1">
        <f t="array" ref="G135">INDEX($B$5:$B$1012, F135)</f>
        <v>41465</v>
      </c>
      <c r="H135" s="69" cm="1">
        <f t="array" ref="H135">INDEX($C$5:$C$1012, F135)</f>
        <v>34.700000000000003</v>
      </c>
      <c r="I135" s="70" cm="1">
        <f t="array" ref="I135">INDEX($D$5:$D$1012, F135)</f>
        <v>29844420</v>
      </c>
    </row>
    <row r="136" spans="2:9" x14ac:dyDescent="0.2">
      <c r="B136" s="62">
        <v>42545</v>
      </c>
      <c r="C136" s="72">
        <v>49.83</v>
      </c>
      <c r="D136" s="71">
        <v>133456500</v>
      </c>
      <c r="E136" s="66" t="s">
        <v>81</v>
      </c>
      <c r="F136" s="16">
        <f t="shared" si="8"/>
        <v>877</v>
      </c>
      <c r="G136" s="67" cm="1">
        <f t="array" ref="G136">INDEX($B$5:$B$1012, F136)</f>
        <v>41466</v>
      </c>
      <c r="H136" s="69" cm="1">
        <f t="array" ref="H136">INDEX($C$5:$C$1012, F136)</f>
        <v>35.685000000000002</v>
      </c>
      <c r="I136" s="70" cm="1">
        <f t="array" ref="I136">INDEX($D$5:$D$1012, F136)</f>
        <v>53608830</v>
      </c>
    </row>
    <row r="137" spans="2:9" x14ac:dyDescent="0.2">
      <c r="B137" s="62">
        <v>42544</v>
      </c>
      <c r="C137" s="72">
        <v>51.91</v>
      </c>
      <c r="D137" s="71">
        <v>28960330</v>
      </c>
      <c r="E137" s="66" t="s">
        <v>81</v>
      </c>
      <c r="F137" s="16">
        <f t="shared" si="8"/>
        <v>876</v>
      </c>
      <c r="G137" s="67" cm="1">
        <f t="array" ref="G137">INDEX($B$5:$B$1012, F137)</f>
        <v>41467</v>
      </c>
      <c r="H137" s="69" cm="1">
        <f t="array" ref="H137">INDEX($C$5:$C$1012, F137)</f>
        <v>35.67</v>
      </c>
      <c r="I137" s="70" cm="1">
        <f t="array" ref="I137">INDEX($D$5:$D$1012, F137)</f>
        <v>35500560</v>
      </c>
    </row>
    <row r="138" spans="2:9" x14ac:dyDescent="0.2">
      <c r="B138" s="62">
        <v>42543</v>
      </c>
      <c r="C138" s="72">
        <v>50.99</v>
      </c>
      <c r="D138" s="71">
        <v>28801660</v>
      </c>
      <c r="E138" s="66" t="s">
        <v>81</v>
      </c>
      <c r="F138" s="16">
        <f t="shared" si="8"/>
        <v>875</v>
      </c>
      <c r="G138" s="67" cm="1">
        <f t="array" ref="G138">INDEX($B$5:$B$1012, F138)</f>
        <v>41470</v>
      </c>
      <c r="H138" s="69" cm="1">
        <f t="array" ref="H138">INDEX($C$5:$C$1012, F138)</f>
        <v>36.17</v>
      </c>
      <c r="I138" s="70" cm="1">
        <f t="array" ref="I138">INDEX($D$5:$D$1012, F138)</f>
        <v>34137810</v>
      </c>
    </row>
    <row r="139" spans="2:9" x14ac:dyDescent="0.2">
      <c r="B139" s="62">
        <v>42542</v>
      </c>
      <c r="C139" s="72">
        <v>51.19</v>
      </c>
      <c r="D139" s="71">
        <v>34075570</v>
      </c>
      <c r="E139" s="66" t="s">
        <v>81</v>
      </c>
      <c r="F139" s="16">
        <f t="shared" si="8"/>
        <v>874</v>
      </c>
      <c r="G139" s="67" cm="1">
        <f t="array" ref="G139">INDEX($B$5:$B$1012, F139)</f>
        <v>41471</v>
      </c>
      <c r="H139" s="69" cm="1">
        <f t="array" ref="H139">INDEX($C$5:$C$1012, F139)</f>
        <v>36.270000000000003</v>
      </c>
      <c r="I139" s="70" cm="1">
        <f t="array" ref="I139">INDEX($D$5:$D$1012, F139)</f>
        <v>36378100</v>
      </c>
    </row>
    <row r="140" spans="2:9" x14ac:dyDescent="0.2">
      <c r="B140" s="62">
        <v>42541</v>
      </c>
      <c r="C140" s="72">
        <v>50.07</v>
      </c>
      <c r="D140" s="71">
        <v>35597220</v>
      </c>
      <c r="E140" s="66" t="s">
        <v>81</v>
      </c>
      <c r="F140" s="16">
        <f t="shared" si="8"/>
        <v>873</v>
      </c>
      <c r="G140" s="67" cm="1">
        <f t="array" ref="G140">INDEX($B$5:$B$1012, F140)</f>
        <v>41472</v>
      </c>
      <c r="H140" s="69" cm="1">
        <f t="array" ref="H140">INDEX($C$5:$C$1012, F140)</f>
        <v>35.74</v>
      </c>
      <c r="I140" s="70" cm="1">
        <f t="array" ref="I140">INDEX($D$5:$D$1012, F140)</f>
        <v>37280170</v>
      </c>
    </row>
    <row r="141" spans="2:9" x14ac:dyDescent="0.2">
      <c r="B141" s="62">
        <v>42538</v>
      </c>
      <c r="C141" s="72">
        <v>50.13</v>
      </c>
      <c r="D141" s="71">
        <v>45675100</v>
      </c>
      <c r="E141" s="66" t="s">
        <v>81</v>
      </c>
      <c r="F141" s="16">
        <f t="shared" si="8"/>
        <v>872</v>
      </c>
      <c r="G141" s="67" cm="1">
        <f t="array" ref="G141">INDEX($B$5:$B$1012, F141)</f>
        <v>41473</v>
      </c>
      <c r="H141" s="69" cm="1">
        <f t="array" ref="H141">INDEX($C$5:$C$1012, F141)</f>
        <v>35.44</v>
      </c>
      <c r="I141" s="70" cm="1">
        <f t="array" ref="I141">INDEX($D$5:$D$1012, F141)</f>
        <v>48522740</v>
      </c>
    </row>
    <row r="142" spans="2:9" x14ac:dyDescent="0.2">
      <c r="B142" s="62">
        <v>42537</v>
      </c>
      <c r="C142" s="72">
        <v>50.39</v>
      </c>
      <c r="D142" s="71">
        <v>31104460</v>
      </c>
      <c r="E142" s="66" t="s">
        <v>81</v>
      </c>
      <c r="F142" s="16">
        <f t="shared" si="8"/>
        <v>871</v>
      </c>
      <c r="G142" s="67" cm="1">
        <f t="array" ref="G142">INDEX($B$5:$B$1012, F142)</f>
        <v>41474</v>
      </c>
      <c r="H142" s="69" cm="1">
        <f t="array" ref="H142">INDEX($C$5:$C$1012, F142)</f>
        <v>31.4</v>
      </c>
      <c r="I142" s="70" cm="1">
        <f t="array" ref="I142">INDEX($D$5:$D$1012, F142)</f>
        <v>247534200</v>
      </c>
    </row>
    <row r="143" spans="2:9" x14ac:dyDescent="0.2">
      <c r="B143" s="62">
        <v>42536</v>
      </c>
      <c r="C143" s="72">
        <v>49.69</v>
      </c>
      <c r="D143" s="71">
        <v>33718830</v>
      </c>
      <c r="E143" s="66" t="s">
        <v>81</v>
      </c>
      <c r="F143" s="16">
        <f t="shared" si="8"/>
        <v>870</v>
      </c>
      <c r="G143" s="67" cm="1">
        <f t="array" ref="G143">INDEX($B$5:$B$1012, F143)</f>
        <v>41477</v>
      </c>
      <c r="H143" s="69" cm="1">
        <f t="array" ref="H143">INDEX($C$5:$C$1012, F143)</f>
        <v>32.01</v>
      </c>
      <c r="I143" s="70" cm="1">
        <f t="array" ref="I143">INDEX($D$5:$D$1012, F143)</f>
        <v>78966800</v>
      </c>
    </row>
    <row r="144" spans="2:9" x14ac:dyDescent="0.2">
      <c r="B144" s="62">
        <v>42535</v>
      </c>
      <c r="C144" s="72">
        <v>49.83</v>
      </c>
      <c r="D144" s="71">
        <v>42568290</v>
      </c>
      <c r="E144" s="66" t="s">
        <v>81</v>
      </c>
      <c r="F144" s="16">
        <f t="shared" si="8"/>
        <v>869</v>
      </c>
      <c r="G144" s="67" cm="1">
        <f t="array" ref="G144">INDEX($B$5:$B$1012, F144)</f>
        <v>41478</v>
      </c>
      <c r="H144" s="69" cm="1">
        <f t="array" ref="H144">INDEX($C$5:$C$1012, F144)</f>
        <v>31.82</v>
      </c>
      <c r="I144" s="70" cm="1">
        <f t="array" ref="I144">INDEX($D$5:$D$1012, F144)</f>
        <v>65809130</v>
      </c>
    </row>
    <row r="145" spans="2:9" x14ac:dyDescent="0.2">
      <c r="B145" s="62">
        <v>42534</v>
      </c>
      <c r="C145" s="72">
        <v>50.14</v>
      </c>
      <c r="D145" s="71">
        <v>83206230</v>
      </c>
      <c r="E145" s="66" t="s">
        <v>81</v>
      </c>
      <c r="F145" s="16">
        <f t="shared" si="8"/>
        <v>868</v>
      </c>
      <c r="G145" s="67" cm="1">
        <f t="array" ref="G145">INDEX($B$5:$B$1012, F145)</f>
        <v>41479</v>
      </c>
      <c r="H145" s="69" cm="1">
        <f t="array" ref="H145">INDEX($C$5:$C$1012, F145)</f>
        <v>31.96</v>
      </c>
      <c r="I145" s="70" cm="1">
        <f t="array" ref="I145">INDEX($D$5:$D$1012, F145)</f>
        <v>52798940</v>
      </c>
    </row>
    <row r="146" spans="2:9" x14ac:dyDescent="0.2">
      <c r="B146" s="62">
        <v>42531</v>
      </c>
      <c r="C146" s="72">
        <v>51.48</v>
      </c>
      <c r="D146" s="71">
        <v>25833020</v>
      </c>
      <c r="E146" s="66" t="s">
        <v>81</v>
      </c>
      <c r="F146" s="16">
        <f t="shared" si="8"/>
        <v>867</v>
      </c>
      <c r="G146" s="67" cm="1">
        <f t="array" ref="G146">INDEX($B$5:$B$1012, F146)</f>
        <v>41480</v>
      </c>
      <c r="H146" s="69" cm="1">
        <f t="array" ref="H146">INDEX($C$5:$C$1012, F146)</f>
        <v>31.39</v>
      </c>
      <c r="I146" s="70" cm="1">
        <f t="array" ref="I146">INDEX($D$5:$D$1012, F146)</f>
        <v>63206730</v>
      </c>
    </row>
    <row r="147" spans="2:9" x14ac:dyDescent="0.2">
      <c r="B147" s="62">
        <v>42530</v>
      </c>
      <c r="C147" s="72">
        <v>51.62</v>
      </c>
      <c r="D147" s="71">
        <v>20303990</v>
      </c>
      <c r="E147" s="66" t="s">
        <v>81</v>
      </c>
      <c r="F147" s="16">
        <f t="shared" si="8"/>
        <v>866</v>
      </c>
      <c r="G147" s="67" cm="1">
        <f t="array" ref="G147">INDEX($B$5:$B$1012, F147)</f>
        <v>41481</v>
      </c>
      <c r="H147" s="69" cm="1">
        <f t="array" ref="H147">INDEX($C$5:$C$1012, F147)</f>
        <v>31.62</v>
      </c>
      <c r="I147" s="70" cm="1">
        <f t="array" ref="I147">INDEX($D$5:$D$1012, F147)</f>
        <v>38631450</v>
      </c>
    </row>
    <row r="148" spans="2:9" x14ac:dyDescent="0.2">
      <c r="B148" s="62">
        <v>42529</v>
      </c>
      <c r="C148" s="72">
        <v>52.04</v>
      </c>
      <c r="D148" s="71">
        <v>21127190</v>
      </c>
      <c r="E148" s="66" t="s">
        <v>81</v>
      </c>
      <c r="F148" s="16">
        <f t="shared" si="8"/>
        <v>865</v>
      </c>
      <c r="G148" s="67" cm="1">
        <f t="array" ref="G148">INDEX($B$5:$B$1012, F148)</f>
        <v>41484</v>
      </c>
      <c r="H148" s="69" cm="1">
        <f t="array" ref="H148">INDEX($C$5:$C$1012, F148)</f>
        <v>31.54</v>
      </c>
      <c r="I148" s="70" cm="1">
        <f t="array" ref="I148">INDEX($D$5:$D$1012, F148)</f>
        <v>28870360</v>
      </c>
    </row>
    <row r="149" spans="2:9" x14ac:dyDescent="0.2">
      <c r="B149" s="62">
        <v>42528</v>
      </c>
      <c r="C149" s="72">
        <v>52.1</v>
      </c>
      <c r="D149" s="71">
        <v>20798030</v>
      </c>
      <c r="E149" s="66" t="s">
        <v>81</v>
      </c>
      <c r="F149" s="16">
        <f t="shared" si="8"/>
        <v>864</v>
      </c>
      <c r="G149" s="67" cm="1">
        <f t="array" ref="G149">INDEX($B$5:$B$1012, F149)</f>
        <v>41485</v>
      </c>
      <c r="H149" s="69" cm="1">
        <f t="array" ref="H149">INDEX($C$5:$C$1012, F149)</f>
        <v>31.85</v>
      </c>
      <c r="I149" s="70" cm="1">
        <f t="array" ref="I149">INDEX($D$5:$D$1012, F149)</f>
        <v>45799480</v>
      </c>
    </row>
    <row r="150" spans="2:9" x14ac:dyDescent="0.2">
      <c r="B150" s="62">
        <v>42527</v>
      </c>
      <c r="C150" s="72">
        <v>52.13</v>
      </c>
      <c r="D150" s="71">
        <v>18137760</v>
      </c>
      <c r="E150" s="66" t="s">
        <v>81</v>
      </c>
      <c r="F150" s="16">
        <f t="shared" si="8"/>
        <v>863</v>
      </c>
      <c r="G150" s="67" cm="1">
        <f t="array" ref="G150">INDEX($B$5:$B$1012, F150)</f>
        <v>41486</v>
      </c>
      <c r="H150" s="69" cm="1">
        <f t="array" ref="H150">INDEX($C$5:$C$1012, F150)</f>
        <v>31.84</v>
      </c>
      <c r="I150" s="70" cm="1">
        <f t="array" ref="I150">INDEX($D$5:$D$1012, F150)</f>
        <v>43898440</v>
      </c>
    </row>
    <row r="151" spans="2:9" x14ac:dyDescent="0.2">
      <c r="B151" s="62">
        <v>42524</v>
      </c>
      <c r="C151" s="72">
        <v>51.79</v>
      </c>
      <c r="D151" s="71">
        <v>23254530</v>
      </c>
      <c r="E151" s="66" t="s">
        <v>81</v>
      </c>
      <c r="F151" s="16">
        <f t="shared" si="8"/>
        <v>862</v>
      </c>
      <c r="G151" s="67" cm="1">
        <f t="array" ref="G151">INDEX($B$5:$B$1012, F151)</f>
        <v>41487</v>
      </c>
      <c r="H151" s="69" cm="1">
        <f t="array" ref="H151">INDEX($C$5:$C$1012, F151)</f>
        <v>31.67</v>
      </c>
      <c r="I151" s="70" cm="1">
        <f t="array" ref="I151">INDEX($D$5:$D$1012, F151)</f>
        <v>42499400</v>
      </c>
    </row>
    <row r="152" spans="2:9" x14ac:dyDescent="0.2">
      <c r="B152" s="62">
        <v>42523</v>
      </c>
      <c r="C152" s="72">
        <v>52.48</v>
      </c>
      <c r="D152" s="71">
        <v>22682220</v>
      </c>
      <c r="E152" s="66" t="s">
        <v>81</v>
      </c>
      <c r="F152" s="16">
        <f t="shared" si="8"/>
        <v>861</v>
      </c>
      <c r="G152" s="67" cm="1">
        <f t="array" ref="G152">INDEX($B$5:$B$1012, F152)</f>
        <v>41488</v>
      </c>
      <c r="H152" s="69" cm="1">
        <f t="array" ref="H152">INDEX($C$5:$C$1012, F152)</f>
        <v>31.89</v>
      </c>
      <c r="I152" s="70" cm="1">
        <f t="array" ref="I152">INDEX($D$5:$D$1012, F152)</f>
        <v>29120110</v>
      </c>
    </row>
    <row r="153" spans="2:9" x14ac:dyDescent="0.2">
      <c r="B153" s="62">
        <v>42522</v>
      </c>
      <c r="C153" s="72">
        <v>52.85</v>
      </c>
      <c r="D153" s="71">
        <v>25104350</v>
      </c>
      <c r="E153" s="66" t="s">
        <v>81</v>
      </c>
      <c r="F153" s="16">
        <f t="shared" si="8"/>
        <v>860</v>
      </c>
      <c r="G153" s="67" cm="1">
        <f t="array" ref="G153">INDEX($B$5:$B$1012, F153)</f>
        <v>41491</v>
      </c>
      <c r="H153" s="69" cm="1">
        <f t="array" ref="H153">INDEX($C$5:$C$1012, F153)</f>
        <v>31.7</v>
      </c>
      <c r="I153" s="70" cm="1">
        <f t="array" ref="I153">INDEX($D$5:$D$1012, F153)</f>
        <v>30983420</v>
      </c>
    </row>
    <row r="154" spans="2:9" x14ac:dyDescent="0.2">
      <c r="B154" s="62">
        <v>42521</v>
      </c>
      <c r="C154" s="72">
        <v>53</v>
      </c>
      <c r="D154" s="71">
        <v>37461550</v>
      </c>
      <c r="E154" s="66" t="s">
        <v>81</v>
      </c>
      <c r="F154" s="16">
        <f t="shared" si="8"/>
        <v>859</v>
      </c>
      <c r="G154" s="67" cm="1">
        <f t="array" ref="G154">INDEX($B$5:$B$1012, F154)</f>
        <v>41492</v>
      </c>
      <c r="H154" s="69" cm="1">
        <f t="array" ref="H154">INDEX($C$5:$C$1012, F154)</f>
        <v>31.58</v>
      </c>
      <c r="I154" s="70" cm="1">
        <f t="array" ref="I154">INDEX($D$5:$D$1012, F154)</f>
        <v>36311950</v>
      </c>
    </row>
    <row r="155" spans="2:9" x14ac:dyDescent="0.2">
      <c r="B155" s="62">
        <v>42517</v>
      </c>
      <c r="C155" s="72">
        <v>52.32</v>
      </c>
      <c r="D155" s="71">
        <v>17671620</v>
      </c>
      <c r="E155" s="66" t="s">
        <v>81</v>
      </c>
      <c r="F155" s="16">
        <f t="shared" si="8"/>
        <v>858</v>
      </c>
      <c r="G155" s="67" cm="1">
        <f t="array" ref="G155">INDEX($B$5:$B$1012, F155)</f>
        <v>41493</v>
      </c>
      <c r="H155" s="69" cm="1">
        <f t="array" ref="H155">INDEX($C$5:$C$1012, F155)</f>
        <v>32.063000000000002</v>
      </c>
      <c r="I155" s="70" cm="1">
        <f t="array" ref="I155">INDEX($D$5:$D$1012, F155)</f>
        <v>38043190</v>
      </c>
    </row>
    <row r="156" spans="2:9" x14ac:dyDescent="0.2">
      <c r="B156" s="62">
        <v>42516</v>
      </c>
      <c r="C156" s="72">
        <v>51.89</v>
      </c>
      <c r="D156" s="71">
        <v>24308620</v>
      </c>
      <c r="E156" s="66" t="s">
        <v>81</v>
      </c>
      <c r="F156" s="16">
        <f t="shared" si="8"/>
        <v>857</v>
      </c>
      <c r="G156" s="67" cm="1">
        <f t="array" ref="G156">INDEX($B$5:$B$1012, F156)</f>
        <v>41494</v>
      </c>
      <c r="H156" s="69" cm="1">
        <f t="array" ref="H156">INDEX($C$5:$C$1012, F156)</f>
        <v>32.89</v>
      </c>
      <c r="I156" s="70" cm="1">
        <f t="array" ref="I156">INDEX($D$5:$D$1012, F156)</f>
        <v>59033540</v>
      </c>
    </row>
    <row r="157" spans="2:9" x14ac:dyDescent="0.2">
      <c r="B157" s="62">
        <v>42515</v>
      </c>
      <c r="C157" s="72">
        <v>52.12</v>
      </c>
      <c r="D157" s="71">
        <v>24176970</v>
      </c>
      <c r="E157" s="66" t="s">
        <v>81</v>
      </c>
      <c r="F157" s="16">
        <f t="shared" si="8"/>
        <v>856</v>
      </c>
      <c r="G157" s="67" cm="1">
        <f t="array" ref="G157">INDEX($B$5:$B$1012, F157)</f>
        <v>41495</v>
      </c>
      <c r="H157" s="69" cm="1">
        <f t="array" ref="H157">INDEX($C$5:$C$1012, F157)</f>
        <v>32.700000000000003</v>
      </c>
      <c r="I157" s="70" cm="1">
        <f t="array" ref="I157">INDEX($D$5:$D$1012, F157)</f>
        <v>26800100</v>
      </c>
    </row>
    <row r="158" spans="2:9" x14ac:dyDescent="0.2">
      <c r="B158" s="62">
        <v>42514</v>
      </c>
      <c r="C158" s="72">
        <v>51.59</v>
      </c>
      <c r="D158" s="71">
        <v>34726410</v>
      </c>
      <c r="E158" s="66" t="s">
        <v>81</v>
      </c>
      <c r="F158" s="16">
        <f t="shared" si="8"/>
        <v>855</v>
      </c>
      <c r="G158" s="67" cm="1">
        <f t="array" ref="G158">INDEX($B$5:$B$1012, F158)</f>
        <v>41498</v>
      </c>
      <c r="H158" s="69" cm="1">
        <f t="array" ref="H158">INDEX($C$5:$C$1012, F158)</f>
        <v>32.869999999999997</v>
      </c>
      <c r="I158" s="70" cm="1">
        <f t="array" ref="I158">INDEX($D$5:$D$1012, F158)</f>
        <v>25493740</v>
      </c>
    </row>
    <row r="159" spans="2:9" x14ac:dyDescent="0.2">
      <c r="B159" s="62">
        <v>42513</v>
      </c>
      <c r="C159" s="72">
        <v>50.03</v>
      </c>
      <c r="D159" s="71">
        <v>26110160</v>
      </c>
      <c r="E159" s="66" t="s">
        <v>81</v>
      </c>
      <c r="F159" s="16">
        <f t="shared" si="8"/>
        <v>854</v>
      </c>
      <c r="G159" s="67" cm="1">
        <f t="array" ref="G159">INDEX($B$5:$B$1012, F159)</f>
        <v>41499</v>
      </c>
      <c r="H159" s="69" cm="1">
        <f t="array" ref="H159">INDEX($C$5:$C$1012, F159)</f>
        <v>32.229999999999997</v>
      </c>
      <c r="I159" s="70" cm="1">
        <f t="array" ref="I159">INDEX($D$5:$D$1012, F159)</f>
        <v>39464100</v>
      </c>
    </row>
    <row r="160" spans="2:9" x14ac:dyDescent="0.2">
      <c r="B160" s="62">
        <v>42510</v>
      </c>
      <c r="C160" s="72">
        <v>50.62</v>
      </c>
      <c r="D160" s="71">
        <v>23770620</v>
      </c>
      <c r="E160" s="66" t="s">
        <v>81</v>
      </c>
      <c r="F160" s="16">
        <f t="shared" si="8"/>
        <v>853</v>
      </c>
      <c r="G160" s="67" cm="1">
        <f t="array" ref="G160">INDEX($B$5:$B$1012, F160)</f>
        <v>41500</v>
      </c>
      <c r="H160" s="69" cm="1">
        <f t="array" ref="H160">INDEX($C$5:$C$1012, F160)</f>
        <v>32.35</v>
      </c>
      <c r="I160" s="70" cm="1">
        <f t="array" ref="I160">INDEX($D$5:$D$1012, F160)</f>
        <v>48518150</v>
      </c>
    </row>
    <row r="161" spans="2:9" x14ac:dyDescent="0.2">
      <c r="B161" s="62">
        <v>42509</v>
      </c>
      <c r="C161" s="72">
        <v>50.32</v>
      </c>
      <c r="D161" s="71">
        <v>23784750</v>
      </c>
      <c r="E161" s="66" t="s">
        <v>81</v>
      </c>
      <c r="F161" s="16">
        <f t="shared" si="8"/>
        <v>852</v>
      </c>
      <c r="G161" s="67" cm="1">
        <f t="array" ref="G161">INDEX($B$5:$B$1012, F161)</f>
        <v>41501</v>
      </c>
      <c r="H161" s="69" cm="1">
        <f t="array" ref="H161">INDEX($C$5:$C$1012, F161)</f>
        <v>31.79</v>
      </c>
      <c r="I161" s="70" cm="1">
        <f t="array" ref="I161">INDEX($D$5:$D$1012, F161)</f>
        <v>33166990</v>
      </c>
    </row>
    <row r="162" spans="2:9" x14ac:dyDescent="0.2">
      <c r="B162" s="62">
        <v>42508</v>
      </c>
      <c r="C162" s="72">
        <v>50.81</v>
      </c>
      <c r="D162" s="71">
        <v>24861480</v>
      </c>
      <c r="E162" s="66" t="s">
        <v>81</v>
      </c>
      <c r="F162" s="16">
        <f t="shared" si="8"/>
        <v>851</v>
      </c>
      <c r="G162" s="67" cm="1">
        <f t="array" ref="G162">INDEX($B$5:$B$1012, F162)</f>
        <v>41502</v>
      </c>
      <c r="H162" s="69" cm="1">
        <f t="array" ref="H162">INDEX($C$5:$C$1012, F162)</f>
        <v>31.8</v>
      </c>
      <c r="I162" s="70" cm="1">
        <f t="array" ref="I162">INDEX($D$5:$D$1012, F162)</f>
        <v>32589950</v>
      </c>
    </row>
    <row r="163" spans="2:9" x14ac:dyDescent="0.2">
      <c r="B163" s="62">
        <v>42507</v>
      </c>
      <c r="C163" s="72">
        <v>50.51</v>
      </c>
      <c r="D163" s="71">
        <v>27790370</v>
      </c>
      <c r="E163" s="66" t="s">
        <v>81</v>
      </c>
      <c r="F163" s="16">
        <f t="shared" si="8"/>
        <v>850</v>
      </c>
      <c r="G163" s="67" cm="1">
        <f t="array" ref="G163">INDEX($B$5:$B$1012, F163)</f>
        <v>41505</v>
      </c>
      <c r="H163" s="69" cm="1">
        <f t="array" ref="H163">INDEX($C$5:$C$1012, F163)</f>
        <v>31.393000000000001</v>
      </c>
      <c r="I163" s="70" cm="1">
        <f t="array" ref="I163">INDEX($D$5:$D$1012, F163)</f>
        <v>27902290</v>
      </c>
    </row>
    <row r="164" spans="2:9" x14ac:dyDescent="0.2">
      <c r="B164" s="62">
        <v>42506</v>
      </c>
      <c r="C164" s="72">
        <v>51.83</v>
      </c>
      <c r="D164" s="71">
        <v>19962750</v>
      </c>
      <c r="E164" s="66" t="s">
        <v>81</v>
      </c>
      <c r="F164" s="16">
        <f t="shared" si="8"/>
        <v>849</v>
      </c>
      <c r="G164" s="67" cm="1">
        <f t="array" ref="G164">INDEX($B$5:$B$1012, F164)</f>
        <v>41506</v>
      </c>
      <c r="H164" s="69" cm="1">
        <f t="array" ref="H164">INDEX($C$5:$C$1012, F164)</f>
        <v>31.62</v>
      </c>
      <c r="I164" s="70" cm="1">
        <f t="array" ref="I164">INDEX($D$5:$D$1012, F164)</f>
        <v>22979510</v>
      </c>
    </row>
    <row r="165" spans="2:9" x14ac:dyDescent="0.2">
      <c r="B165" s="62">
        <v>42503</v>
      </c>
      <c r="C165" s="72">
        <v>51.08</v>
      </c>
      <c r="D165" s="71">
        <v>22439560</v>
      </c>
      <c r="E165" s="66" t="s">
        <v>81</v>
      </c>
      <c r="F165" s="16">
        <f t="shared" si="8"/>
        <v>848</v>
      </c>
      <c r="G165" s="67" cm="1">
        <f t="array" ref="G165">INDEX($B$5:$B$1012, F165)</f>
        <v>41507</v>
      </c>
      <c r="H165" s="69" cm="1">
        <f t="array" ref="H165">INDEX($C$5:$C$1012, F165)</f>
        <v>31.61</v>
      </c>
      <c r="I165" s="70" cm="1">
        <f t="array" ref="I165">INDEX($D$5:$D$1012, F165)</f>
        <v>37397450</v>
      </c>
    </row>
    <row r="166" spans="2:9" x14ac:dyDescent="0.2">
      <c r="B166" s="62">
        <v>42502</v>
      </c>
      <c r="C166" s="72">
        <v>51.51</v>
      </c>
      <c r="D166" s="71">
        <v>24101640</v>
      </c>
      <c r="E166" s="66" t="s">
        <v>81</v>
      </c>
      <c r="F166" s="16">
        <f t="shared" si="8"/>
        <v>847</v>
      </c>
      <c r="G166" s="67" cm="1">
        <f t="array" ref="G166">INDEX($B$5:$B$1012, F166)</f>
        <v>41508</v>
      </c>
      <c r="H166" s="69" cm="1">
        <f t="array" ref="H166">INDEX($C$5:$C$1012, F166)</f>
        <v>32.39</v>
      </c>
      <c r="I166" s="70" cm="1">
        <f t="array" ref="I166">INDEX($D$5:$D$1012, F166)</f>
        <v>31119740</v>
      </c>
    </row>
    <row r="167" spans="2:9" x14ac:dyDescent="0.2">
      <c r="B167" s="62">
        <v>42501</v>
      </c>
      <c r="C167" s="72">
        <v>51.05</v>
      </c>
      <c r="D167" s="71">
        <v>24026140</v>
      </c>
      <c r="E167" s="66" t="s">
        <v>81</v>
      </c>
      <c r="F167" s="16">
        <f t="shared" si="8"/>
        <v>846</v>
      </c>
      <c r="G167" s="67" cm="1">
        <f t="array" ref="G167">INDEX($B$5:$B$1012, F167)</f>
        <v>41509</v>
      </c>
      <c r="H167" s="69" cm="1">
        <f t="array" ref="H167">INDEX($C$5:$C$1012, F167)</f>
        <v>34.75</v>
      </c>
      <c r="I167" s="70" cm="1">
        <f t="array" ref="I167">INDEX($D$5:$D$1012, F167)</f>
        <v>225411400</v>
      </c>
    </row>
    <row r="168" spans="2:9" x14ac:dyDescent="0.2">
      <c r="B168" s="62">
        <v>42500</v>
      </c>
      <c r="C168" s="72">
        <v>51.02</v>
      </c>
      <c r="D168" s="71">
        <v>22871860</v>
      </c>
      <c r="E168" s="66" t="s">
        <v>81</v>
      </c>
      <c r="F168" s="16">
        <f t="shared" si="8"/>
        <v>845</v>
      </c>
      <c r="G168" s="67" cm="1">
        <f t="array" ref="G168">INDEX($B$5:$B$1012, F168)</f>
        <v>41512</v>
      </c>
      <c r="H168" s="69" cm="1">
        <f t="array" ref="H168">INDEX($C$5:$C$1012, F168)</f>
        <v>34.15</v>
      </c>
      <c r="I168" s="70" cm="1">
        <f t="array" ref="I168">INDEX($D$5:$D$1012, F168)</f>
        <v>72552110</v>
      </c>
    </row>
    <row r="169" spans="2:9" x14ac:dyDescent="0.2">
      <c r="B169" s="62">
        <v>42499</v>
      </c>
      <c r="C169" s="72">
        <v>50.07</v>
      </c>
      <c r="D169" s="71">
        <v>17883360</v>
      </c>
      <c r="E169" s="66" t="s">
        <v>81</v>
      </c>
      <c r="F169" s="16">
        <f t="shared" si="8"/>
        <v>844</v>
      </c>
      <c r="G169" s="67" cm="1">
        <f t="array" ref="G169">INDEX($B$5:$B$1012, F169)</f>
        <v>41513</v>
      </c>
      <c r="H169" s="69" cm="1">
        <f t="array" ref="H169">INDEX($C$5:$C$1012, F169)</f>
        <v>33.26</v>
      </c>
      <c r="I169" s="70" cm="1">
        <f t="array" ref="I169">INDEX($D$5:$D$1012, F169)</f>
        <v>58516170</v>
      </c>
    </row>
    <row r="170" spans="2:9" x14ac:dyDescent="0.2">
      <c r="B170" s="62">
        <v>42496</v>
      </c>
      <c r="C170" s="72">
        <v>50.39</v>
      </c>
      <c r="D170" s="71">
        <v>24772020</v>
      </c>
      <c r="E170" s="66" t="s">
        <v>81</v>
      </c>
      <c r="F170" s="16">
        <f t="shared" si="8"/>
        <v>843</v>
      </c>
      <c r="G170" s="67" cm="1">
        <f t="array" ref="G170">INDEX($B$5:$B$1012, F170)</f>
        <v>41514</v>
      </c>
      <c r="H170" s="69" cm="1">
        <f t="array" ref="H170">INDEX($C$5:$C$1012, F170)</f>
        <v>33.020000000000003</v>
      </c>
      <c r="I170" s="70" cm="1">
        <f t="array" ref="I170">INDEX($D$5:$D$1012, F170)</f>
        <v>44257220</v>
      </c>
    </row>
    <row r="171" spans="2:9" x14ac:dyDescent="0.2">
      <c r="B171" s="62">
        <v>42495</v>
      </c>
      <c r="C171" s="72">
        <v>49.94</v>
      </c>
      <c r="D171" s="71">
        <v>25386690</v>
      </c>
      <c r="E171" s="66" t="s">
        <v>81</v>
      </c>
      <c r="F171" s="16">
        <f t="shared" si="8"/>
        <v>842</v>
      </c>
      <c r="G171" s="67" cm="1">
        <f t="array" ref="G171">INDEX($B$5:$B$1012, F171)</f>
        <v>41515</v>
      </c>
      <c r="H171" s="69" cm="1">
        <f t="array" ref="H171">INDEX($C$5:$C$1012, F171)</f>
        <v>33.549999999999997</v>
      </c>
      <c r="I171" s="70" cm="1">
        <f t="array" ref="I171">INDEX($D$5:$D$1012, F171)</f>
        <v>45080100</v>
      </c>
    </row>
    <row r="172" spans="2:9" x14ac:dyDescent="0.2">
      <c r="B172" s="62">
        <v>42494</v>
      </c>
      <c r="C172" s="72">
        <v>49.87</v>
      </c>
      <c r="D172" s="71">
        <v>24249670</v>
      </c>
      <c r="E172" s="66" t="s">
        <v>81</v>
      </c>
      <c r="F172" s="16">
        <f t="shared" si="8"/>
        <v>841</v>
      </c>
      <c r="G172" s="67" cm="1">
        <f t="array" ref="G172">INDEX($B$5:$B$1012, F172)</f>
        <v>41516</v>
      </c>
      <c r="H172" s="69" cm="1">
        <f t="array" ref="H172">INDEX($C$5:$C$1012, F172)</f>
        <v>33.4</v>
      </c>
      <c r="I172" s="70" cm="1">
        <f t="array" ref="I172">INDEX($D$5:$D$1012, F172)</f>
        <v>42722590</v>
      </c>
    </row>
    <row r="173" spans="2:9" x14ac:dyDescent="0.2">
      <c r="B173" s="62">
        <v>42493</v>
      </c>
      <c r="C173" s="72">
        <v>49.78</v>
      </c>
      <c r="D173" s="71">
        <v>26445230</v>
      </c>
      <c r="E173" s="66" t="s">
        <v>81</v>
      </c>
      <c r="F173" s="16">
        <f t="shared" si="8"/>
        <v>840</v>
      </c>
      <c r="G173" s="67" cm="1">
        <f t="array" ref="G173">INDEX($B$5:$B$1012, F173)</f>
        <v>41520</v>
      </c>
      <c r="H173" s="69" cm="1">
        <f t="array" ref="H173">INDEX($C$5:$C$1012, F173)</f>
        <v>31.88</v>
      </c>
      <c r="I173" s="70" cm="1">
        <f t="array" ref="I173">INDEX($D$5:$D$1012, F173)</f>
        <v>154487200</v>
      </c>
    </row>
    <row r="174" spans="2:9" x14ac:dyDescent="0.2">
      <c r="B174" s="62">
        <v>42492</v>
      </c>
      <c r="C174" s="72">
        <v>50.61</v>
      </c>
      <c r="D174" s="71">
        <v>33105170</v>
      </c>
      <c r="E174" s="66" t="s">
        <v>81</v>
      </c>
      <c r="F174" s="16">
        <f t="shared" si="8"/>
        <v>839</v>
      </c>
      <c r="G174" s="67" cm="1">
        <f t="array" ref="G174">INDEX($B$5:$B$1012, F174)</f>
        <v>41521</v>
      </c>
      <c r="H174" s="69" cm="1">
        <f t="array" ref="H174">INDEX($C$5:$C$1012, F174)</f>
        <v>31.195</v>
      </c>
      <c r="I174" s="70" cm="1">
        <f t="array" ref="I174">INDEX($D$5:$D$1012, F174)</f>
        <v>142256200</v>
      </c>
    </row>
    <row r="175" spans="2:9" x14ac:dyDescent="0.2">
      <c r="B175" s="62">
        <v>42489</v>
      </c>
      <c r="C175" s="72">
        <v>49.87</v>
      </c>
      <c r="D175" s="71">
        <v>48391580</v>
      </c>
      <c r="E175" s="66" t="s">
        <v>81</v>
      </c>
      <c r="F175" s="16">
        <f t="shared" si="8"/>
        <v>838</v>
      </c>
      <c r="G175" s="67" cm="1">
        <f t="array" ref="G175">INDEX($B$5:$B$1012, F175)</f>
        <v>41522</v>
      </c>
      <c r="H175" s="69" cm="1">
        <f t="array" ref="H175">INDEX($C$5:$C$1012, F175)</f>
        <v>31.234999999999999</v>
      </c>
      <c r="I175" s="70" cm="1">
        <f t="array" ref="I175">INDEX($D$5:$D$1012, F175)</f>
        <v>71611720</v>
      </c>
    </row>
    <row r="176" spans="2:9" x14ac:dyDescent="0.2">
      <c r="B176" s="62">
        <v>42488</v>
      </c>
      <c r="C176" s="72">
        <v>49.9</v>
      </c>
      <c r="D176" s="71">
        <v>43108350</v>
      </c>
      <c r="E176" s="66" t="s">
        <v>81</v>
      </c>
      <c r="F176" s="16">
        <f t="shared" si="8"/>
        <v>837</v>
      </c>
      <c r="G176" s="67" cm="1">
        <f t="array" ref="G176">INDEX($B$5:$B$1012, F176)</f>
        <v>41523</v>
      </c>
      <c r="H176" s="69" cm="1">
        <f t="array" ref="H176">INDEX($C$5:$C$1012, F176)</f>
        <v>31.152000000000001</v>
      </c>
      <c r="I176" s="70" cm="1">
        <f t="array" ref="I176">INDEX($D$5:$D$1012, F176)</f>
        <v>75434880</v>
      </c>
    </row>
    <row r="177" spans="2:9" x14ac:dyDescent="0.2">
      <c r="B177" s="62">
        <v>42487</v>
      </c>
      <c r="C177" s="72">
        <v>50.94</v>
      </c>
      <c r="D177" s="71">
        <v>43301480</v>
      </c>
      <c r="E177" s="66" t="s">
        <v>81</v>
      </c>
      <c r="F177" s="16">
        <f t="shared" si="8"/>
        <v>836</v>
      </c>
      <c r="G177" s="67" cm="1">
        <f t="array" ref="G177">INDEX($B$5:$B$1012, F177)</f>
        <v>41526</v>
      </c>
      <c r="H177" s="69" cm="1">
        <f t="array" ref="H177">INDEX($C$5:$C$1012, F177)</f>
        <v>31.655000000000001</v>
      </c>
      <c r="I177" s="70" cm="1">
        <f t="array" ref="I177">INDEX($D$5:$D$1012, F177)</f>
        <v>49271550</v>
      </c>
    </row>
    <row r="178" spans="2:9" x14ac:dyDescent="0.2">
      <c r="B178" s="62">
        <v>42486</v>
      </c>
      <c r="C178" s="72">
        <v>51.44</v>
      </c>
      <c r="D178" s="71">
        <v>33513780</v>
      </c>
      <c r="E178" s="66" t="s">
        <v>81</v>
      </c>
      <c r="F178" s="16">
        <f t="shared" si="8"/>
        <v>835</v>
      </c>
      <c r="G178" s="67" cm="1">
        <f t="array" ref="G178">INDEX($B$5:$B$1012, F178)</f>
        <v>41527</v>
      </c>
      <c r="H178" s="69" cm="1">
        <f t="array" ref="H178">INDEX($C$5:$C$1012, F178)</f>
        <v>32.39</v>
      </c>
      <c r="I178" s="70" cm="1">
        <f t="array" ref="I178">INDEX($D$5:$D$1012, F178)</f>
        <v>56878660</v>
      </c>
    </row>
    <row r="179" spans="2:9" x14ac:dyDescent="0.2">
      <c r="B179" s="62">
        <v>42485</v>
      </c>
      <c r="C179" s="72">
        <v>52.11</v>
      </c>
      <c r="D179" s="71">
        <v>33124870</v>
      </c>
      <c r="E179" s="66" t="s">
        <v>81</v>
      </c>
      <c r="F179" s="16">
        <f t="shared" si="8"/>
        <v>834</v>
      </c>
      <c r="G179" s="67" cm="1">
        <f t="array" ref="G179">INDEX($B$5:$B$1012, F179)</f>
        <v>41528</v>
      </c>
      <c r="H179" s="69" cm="1">
        <f t="array" ref="H179">INDEX($C$5:$C$1012, F179)</f>
        <v>32.74</v>
      </c>
      <c r="I179" s="70" cm="1">
        <f t="array" ref="I179">INDEX($D$5:$D$1012, F179)</f>
        <v>39067010</v>
      </c>
    </row>
    <row r="180" spans="2:9" x14ac:dyDescent="0.2">
      <c r="B180" s="62">
        <v>42482</v>
      </c>
      <c r="C180" s="72">
        <v>51.78</v>
      </c>
      <c r="D180" s="71">
        <v>126793100</v>
      </c>
      <c r="E180" s="66" t="s">
        <v>81</v>
      </c>
      <c r="F180" s="16">
        <f t="shared" si="8"/>
        <v>833</v>
      </c>
      <c r="G180" s="67" cm="1">
        <f t="array" ref="G180">INDEX($B$5:$B$1012, F180)</f>
        <v>41529</v>
      </c>
      <c r="H180" s="69" cm="1">
        <f t="array" ref="H180">INDEX($C$5:$C$1012, F180)</f>
        <v>32.69</v>
      </c>
      <c r="I180" s="70" cm="1">
        <f t="array" ref="I180">INDEX($D$5:$D$1012, F180)</f>
        <v>32860200</v>
      </c>
    </row>
    <row r="181" spans="2:9" x14ac:dyDescent="0.2">
      <c r="B181" s="62">
        <v>42481</v>
      </c>
      <c r="C181" s="72">
        <v>55.78</v>
      </c>
      <c r="D181" s="71">
        <v>38182900</v>
      </c>
      <c r="E181" s="66" t="s">
        <v>81</v>
      </c>
      <c r="F181" s="16">
        <f t="shared" si="8"/>
        <v>832</v>
      </c>
      <c r="G181" s="67" cm="1">
        <f t="array" ref="G181">INDEX($B$5:$B$1012, F181)</f>
        <v>41530</v>
      </c>
      <c r="H181" s="69" cm="1">
        <f t="array" ref="H181">INDEX($C$5:$C$1012, F181)</f>
        <v>33.03</v>
      </c>
      <c r="I181" s="70" cm="1">
        <f t="array" ref="I181">INDEX($D$5:$D$1012, F181)</f>
        <v>40896510</v>
      </c>
    </row>
    <row r="182" spans="2:9" x14ac:dyDescent="0.2">
      <c r="B182" s="62">
        <v>42480</v>
      </c>
      <c r="C182" s="72">
        <v>55.59</v>
      </c>
      <c r="D182" s="71">
        <v>36169280</v>
      </c>
      <c r="E182" s="66" t="s">
        <v>81</v>
      </c>
      <c r="F182" s="16">
        <f t="shared" si="8"/>
        <v>831</v>
      </c>
      <c r="G182" s="67" cm="1">
        <f t="array" ref="G182">INDEX($B$5:$B$1012, F182)</f>
        <v>41533</v>
      </c>
      <c r="H182" s="69" cm="1">
        <f t="array" ref="H182">INDEX($C$5:$C$1012, F182)</f>
        <v>32.801000000000002</v>
      </c>
      <c r="I182" s="70" cm="1">
        <f t="array" ref="I182">INDEX($D$5:$D$1012, F182)</f>
        <v>55008820</v>
      </c>
    </row>
    <row r="183" spans="2:9" x14ac:dyDescent="0.2">
      <c r="B183" s="62">
        <v>42479</v>
      </c>
      <c r="C183" s="72">
        <v>56.39</v>
      </c>
      <c r="D183" s="71">
        <v>29566220</v>
      </c>
      <c r="E183" s="66" t="s">
        <v>81</v>
      </c>
      <c r="F183" s="16">
        <f t="shared" si="8"/>
        <v>830</v>
      </c>
      <c r="G183" s="67" cm="1">
        <f t="array" ref="G183">INDEX($B$5:$B$1012, F183)</f>
        <v>41534</v>
      </c>
      <c r="H183" s="69" cm="1">
        <f t="array" ref="H183">INDEX($C$5:$C$1012, F183)</f>
        <v>32.93</v>
      </c>
      <c r="I183" s="70" cm="1">
        <f t="array" ref="I183">INDEX($D$5:$D$1012, F183)</f>
        <v>84675130</v>
      </c>
    </row>
    <row r="184" spans="2:9" x14ac:dyDescent="0.2">
      <c r="B184" s="62">
        <v>42478</v>
      </c>
      <c r="C184" s="72">
        <v>56.46</v>
      </c>
      <c r="D184" s="71">
        <v>23758570</v>
      </c>
      <c r="E184" s="66" t="s">
        <v>81</v>
      </c>
      <c r="F184" s="16">
        <f t="shared" si="8"/>
        <v>829</v>
      </c>
      <c r="G184" s="67" cm="1">
        <f t="array" ref="G184">INDEX($B$5:$B$1012, F184)</f>
        <v>41535</v>
      </c>
      <c r="H184" s="69" cm="1">
        <f t="array" ref="H184">INDEX($C$5:$C$1012, F184)</f>
        <v>33.32</v>
      </c>
      <c r="I184" s="70" cm="1">
        <f t="array" ref="I184">INDEX($D$5:$D$1012, F184)</f>
        <v>64024200</v>
      </c>
    </row>
    <row r="185" spans="2:9" x14ac:dyDescent="0.2">
      <c r="B185" s="62">
        <v>42475</v>
      </c>
      <c r="C185" s="72">
        <v>55.65</v>
      </c>
      <c r="D185" s="71">
        <v>28462970</v>
      </c>
      <c r="E185" s="66" t="s">
        <v>81</v>
      </c>
      <c r="F185" s="16">
        <f t="shared" si="8"/>
        <v>828</v>
      </c>
      <c r="G185" s="67" cm="1">
        <f t="array" ref="G185">INDEX($B$5:$B$1012, F185)</f>
        <v>41536</v>
      </c>
      <c r="H185" s="69" cm="1">
        <f t="array" ref="H185">INDEX($C$5:$C$1012, F185)</f>
        <v>33.64</v>
      </c>
      <c r="I185" s="70" cm="1">
        <f t="array" ref="I185">INDEX($D$5:$D$1012, F185)</f>
        <v>41981700</v>
      </c>
    </row>
    <row r="186" spans="2:9" x14ac:dyDescent="0.2">
      <c r="B186" s="62">
        <v>42474</v>
      </c>
      <c r="C186" s="72">
        <v>55.36</v>
      </c>
      <c r="D186" s="71">
        <v>20875260</v>
      </c>
      <c r="E186" s="66" t="s">
        <v>81</v>
      </c>
      <c r="F186" s="16">
        <f t="shared" si="8"/>
        <v>827</v>
      </c>
      <c r="G186" s="67" cm="1">
        <f t="array" ref="G186">INDEX($B$5:$B$1012, F186)</f>
        <v>41537</v>
      </c>
      <c r="H186" s="69" cm="1">
        <f t="array" ref="H186">INDEX($C$5:$C$1012, F186)</f>
        <v>32.790999999999997</v>
      </c>
      <c r="I186" s="70" cm="1">
        <f t="array" ref="I186">INDEX($D$5:$D$1012, F186)</f>
        <v>102578800</v>
      </c>
    </row>
    <row r="187" spans="2:9" x14ac:dyDescent="0.2">
      <c r="B187" s="62">
        <v>42473</v>
      </c>
      <c r="C187" s="72">
        <v>55.35</v>
      </c>
      <c r="D187" s="71">
        <v>20813640</v>
      </c>
      <c r="E187" s="66" t="s">
        <v>81</v>
      </c>
      <c r="F187" s="16">
        <f t="shared" si="8"/>
        <v>826</v>
      </c>
      <c r="G187" s="67" cm="1">
        <f t="array" ref="G187">INDEX($B$5:$B$1012, F187)</f>
        <v>41540</v>
      </c>
      <c r="H187" s="69" cm="1">
        <f t="array" ref="H187">INDEX($C$5:$C$1012, F187)</f>
        <v>32.74</v>
      </c>
      <c r="I187" s="70" cm="1">
        <f t="array" ref="I187">INDEX($D$5:$D$1012, F187)</f>
        <v>39826060</v>
      </c>
    </row>
    <row r="188" spans="2:9" x14ac:dyDescent="0.2">
      <c r="B188" s="62">
        <v>42472</v>
      </c>
      <c r="C188" s="72">
        <v>54.65</v>
      </c>
      <c r="D188" s="71">
        <v>24874410</v>
      </c>
      <c r="E188" s="66" t="s">
        <v>81</v>
      </c>
      <c r="F188" s="16">
        <f t="shared" si="8"/>
        <v>825</v>
      </c>
      <c r="G188" s="67" cm="1">
        <f t="array" ref="G188">INDEX($B$5:$B$1012, F188)</f>
        <v>41541</v>
      </c>
      <c r="H188" s="69" cm="1">
        <f t="array" ref="H188">INDEX($C$5:$C$1012, F188)</f>
        <v>32.454999999999998</v>
      </c>
      <c r="I188" s="70" cm="1">
        <f t="array" ref="I188">INDEX($D$5:$D$1012, F188)</f>
        <v>40159010</v>
      </c>
    </row>
    <row r="189" spans="2:9" x14ac:dyDescent="0.2">
      <c r="B189" s="62">
        <v>42471</v>
      </c>
      <c r="C189" s="72">
        <v>54.31</v>
      </c>
      <c r="D189" s="71">
        <v>21400400</v>
      </c>
      <c r="E189" s="66" t="s">
        <v>81</v>
      </c>
      <c r="F189" s="16">
        <f t="shared" si="8"/>
        <v>824</v>
      </c>
      <c r="G189" s="67" cm="1">
        <f t="array" ref="G189">INDEX($B$5:$B$1012, F189)</f>
        <v>41542</v>
      </c>
      <c r="H189" s="69" cm="1">
        <f t="array" ref="H189">INDEX($C$5:$C$1012, F189)</f>
        <v>32.505000000000003</v>
      </c>
      <c r="I189" s="70" cm="1">
        <f t="array" ref="I189">INDEX($D$5:$D$1012, F189)</f>
        <v>28826100</v>
      </c>
    </row>
    <row r="190" spans="2:9" x14ac:dyDescent="0.2">
      <c r="B190" s="62">
        <v>42468</v>
      </c>
      <c r="C190" s="72">
        <v>54.42</v>
      </c>
      <c r="D190" s="71">
        <v>22159630</v>
      </c>
      <c r="E190" s="66" t="s">
        <v>81</v>
      </c>
      <c r="F190" s="16">
        <f t="shared" si="8"/>
        <v>823</v>
      </c>
      <c r="G190" s="67" cm="1">
        <f t="array" ref="G190">INDEX($B$5:$B$1012, F190)</f>
        <v>41543</v>
      </c>
      <c r="H190" s="69" cm="1">
        <f t="array" ref="H190">INDEX($C$5:$C$1012, F190)</f>
        <v>32.770000000000003</v>
      </c>
      <c r="I190" s="70" cm="1">
        <f t="array" ref="I190">INDEX($D$5:$D$1012, F190)</f>
        <v>28457790</v>
      </c>
    </row>
    <row r="191" spans="2:9" x14ac:dyDescent="0.2">
      <c r="B191" s="62">
        <v>42467</v>
      </c>
      <c r="C191" s="72">
        <v>54.46</v>
      </c>
      <c r="D191" s="71">
        <v>19221270</v>
      </c>
      <c r="E191" s="66" t="s">
        <v>81</v>
      </c>
      <c r="F191" s="16">
        <f t="shared" si="8"/>
        <v>822</v>
      </c>
      <c r="G191" s="67" cm="1">
        <f t="array" ref="G191">INDEX($B$5:$B$1012, F191)</f>
        <v>41544</v>
      </c>
      <c r="H191" s="69" cm="1">
        <f t="array" ref="H191">INDEX($C$5:$C$1012, F191)</f>
        <v>33.270000000000003</v>
      </c>
      <c r="I191" s="70" cm="1">
        <f t="array" ref="I191">INDEX($D$5:$D$1012, F191)</f>
        <v>55330510</v>
      </c>
    </row>
    <row r="192" spans="2:9" x14ac:dyDescent="0.2">
      <c r="B192" s="62">
        <v>42466</v>
      </c>
      <c r="C192" s="72">
        <v>55.12</v>
      </c>
      <c r="D192" s="71">
        <v>21072150</v>
      </c>
      <c r="E192" s="66" t="s">
        <v>81</v>
      </c>
      <c r="F192" s="16">
        <f t="shared" si="8"/>
        <v>821</v>
      </c>
      <c r="G192" s="67" cm="1">
        <f t="array" ref="G192">INDEX($B$5:$B$1012, F192)</f>
        <v>41547</v>
      </c>
      <c r="H192" s="69" cm="1">
        <f t="array" ref="H192">INDEX($C$5:$C$1012, F192)</f>
        <v>33.28</v>
      </c>
      <c r="I192" s="70" cm="1">
        <f t="array" ref="I192">INDEX($D$5:$D$1012, F192)</f>
        <v>39774300</v>
      </c>
    </row>
    <row r="193" spans="2:9" x14ac:dyDescent="0.2">
      <c r="B193" s="62">
        <v>42465</v>
      </c>
      <c r="C193" s="72">
        <v>54.56</v>
      </c>
      <c r="D193" s="71">
        <v>19261620</v>
      </c>
      <c r="E193" s="66" t="s">
        <v>81</v>
      </c>
      <c r="F193" s="16">
        <f t="shared" si="8"/>
        <v>820</v>
      </c>
      <c r="G193" s="67" cm="1">
        <f t="array" ref="G193">INDEX($B$5:$B$1012, F193)</f>
        <v>41548</v>
      </c>
      <c r="H193" s="69" cm="1">
        <f t="array" ref="H193">INDEX($C$5:$C$1012, F193)</f>
        <v>33.58</v>
      </c>
      <c r="I193" s="70" cm="1">
        <f t="array" ref="I193">INDEX($D$5:$D$1012, F193)</f>
        <v>36664230</v>
      </c>
    </row>
    <row r="194" spans="2:9" x14ac:dyDescent="0.2">
      <c r="B194" s="62">
        <v>42464</v>
      </c>
      <c r="C194" s="72">
        <v>55.43</v>
      </c>
      <c r="D194" s="71">
        <v>18908300</v>
      </c>
      <c r="E194" s="66" t="s">
        <v>81</v>
      </c>
      <c r="F194" s="16">
        <f t="shared" si="8"/>
        <v>819</v>
      </c>
      <c r="G194" s="67" cm="1">
        <f t="array" ref="G194">INDEX($B$5:$B$1012, F194)</f>
        <v>41549</v>
      </c>
      <c r="H194" s="69" cm="1">
        <f t="array" ref="H194">INDEX($C$5:$C$1012, F194)</f>
        <v>33.92</v>
      </c>
      <c r="I194" s="70" cm="1">
        <f t="array" ref="I194">INDEX($D$5:$D$1012, F194)</f>
        <v>46924840</v>
      </c>
    </row>
    <row r="195" spans="2:9" x14ac:dyDescent="0.2">
      <c r="B195" s="62">
        <v>42461</v>
      </c>
      <c r="C195" s="72">
        <v>55.57</v>
      </c>
      <c r="D195" s="71">
        <v>24383590</v>
      </c>
      <c r="E195" s="66" t="s">
        <v>81</v>
      </c>
      <c r="F195" s="16">
        <f t="shared" si="8"/>
        <v>818</v>
      </c>
      <c r="G195" s="67" cm="1">
        <f t="array" ref="G195">INDEX($B$5:$B$1012, F195)</f>
        <v>41550</v>
      </c>
      <c r="H195" s="69" cm="1">
        <f t="array" ref="H195">INDEX($C$5:$C$1012, F195)</f>
        <v>33.86</v>
      </c>
      <c r="I195" s="70" cm="1">
        <f t="array" ref="I195">INDEX($D$5:$D$1012, F195)</f>
        <v>38703760</v>
      </c>
    </row>
    <row r="196" spans="2:9" x14ac:dyDescent="0.2">
      <c r="B196" s="62">
        <v>42460</v>
      </c>
      <c r="C196" s="72">
        <v>55.23</v>
      </c>
      <c r="D196" s="71">
        <v>26353570</v>
      </c>
      <c r="E196" s="66" t="s">
        <v>81</v>
      </c>
      <c r="F196" s="16">
        <f t="shared" si="8"/>
        <v>817</v>
      </c>
      <c r="G196" s="67" cm="1">
        <f t="array" ref="G196">INDEX($B$5:$B$1012, F196)</f>
        <v>41551</v>
      </c>
      <c r="H196" s="69" cm="1">
        <f t="array" ref="H196">INDEX($C$5:$C$1012, F196)</f>
        <v>33.880000000000003</v>
      </c>
      <c r="I196" s="70" cm="1">
        <f t="array" ref="I196">INDEX($D$5:$D$1012, F196)</f>
        <v>32985790</v>
      </c>
    </row>
    <row r="197" spans="2:9" x14ac:dyDescent="0.2">
      <c r="B197" s="62">
        <v>42459</v>
      </c>
      <c r="C197" s="72">
        <v>55.05</v>
      </c>
      <c r="D197" s="71">
        <v>22992090</v>
      </c>
      <c r="E197" s="66" t="s">
        <v>81</v>
      </c>
      <c r="F197" s="16">
        <f t="shared" si="8"/>
        <v>816</v>
      </c>
      <c r="G197" s="67" cm="1">
        <f t="array" ref="G197">INDEX($B$5:$B$1012, F197)</f>
        <v>41554</v>
      </c>
      <c r="H197" s="69" cm="1">
        <f t="array" ref="H197">INDEX($C$5:$C$1012, F197)</f>
        <v>33.299999999999997</v>
      </c>
      <c r="I197" s="70" cm="1">
        <f t="array" ref="I197">INDEX($D$5:$D$1012, F197)</f>
        <v>35049210</v>
      </c>
    </row>
    <row r="198" spans="2:9" x14ac:dyDescent="0.2">
      <c r="B198" s="62">
        <v>42458</v>
      </c>
      <c r="C198" s="72">
        <v>54.71</v>
      </c>
      <c r="D198" s="71">
        <v>23913950</v>
      </c>
      <c r="E198" s="66" t="s">
        <v>81</v>
      </c>
      <c r="F198" s="16">
        <f t="shared" ref="F198:F261" si="9">COUNT(B198:B1205)</f>
        <v>815</v>
      </c>
      <c r="G198" s="67" cm="1">
        <f t="array" ref="G198">INDEX($B$5:$B$1012, F198)</f>
        <v>41555</v>
      </c>
      <c r="H198" s="69" cm="1">
        <f t="array" ref="H198">INDEX($C$5:$C$1012, F198)</f>
        <v>33.01</v>
      </c>
      <c r="I198" s="70" cm="1">
        <f t="array" ref="I198">INDEX($D$5:$D$1012, F198)</f>
        <v>40953660</v>
      </c>
    </row>
    <row r="199" spans="2:9" x14ac:dyDescent="0.2">
      <c r="B199" s="62">
        <v>42457</v>
      </c>
      <c r="C199" s="72">
        <v>53.54</v>
      </c>
      <c r="D199" s="71">
        <v>17018120</v>
      </c>
      <c r="E199" s="66" t="s">
        <v>81</v>
      </c>
      <c r="F199" s="16">
        <f t="shared" si="9"/>
        <v>814</v>
      </c>
      <c r="G199" s="67" cm="1">
        <f t="array" ref="G199">INDEX($B$5:$B$1012, F199)</f>
        <v>41556</v>
      </c>
      <c r="H199" s="69" cm="1">
        <f t="array" ref="H199">INDEX($C$5:$C$1012, F199)</f>
        <v>33.07</v>
      </c>
      <c r="I199" s="70" cm="1">
        <f t="array" ref="I199">INDEX($D$5:$D$1012, F199)</f>
        <v>35839870</v>
      </c>
    </row>
    <row r="200" spans="2:9" x14ac:dyDescent="0.2">
      <c r="B200" s="62">
        <v>42453</v>
      </c>
      <c r="C200" s="72">
        <v>54.21</v>
      </c>
      <c r="D200" s="71">
        <v>18967510</v>
      </c>
      <c r="E200" s="66" t="s">
        <v>81</v>
      </c>
      <c r="F200" s="16">
        <f t="shared" si="9"/>
        <v>813</v>
      </c>
      <c r="G200" s="67" cm="1">
        <f t="array" ref="G200">INDEX($B$5:$B$1012, F200)</f>
        <v>41557</v>
      </c>
      <c r="H200" s="69" cm="1">
        <f t="array" ref="H200">INDEX($C$5:$C$1012, F200)</f>
        <v>33.76</v>
      </c>
      <c r="I200" s="70" cm="1">
        <f t="array" ref="I200">INDEX($D$5:$D$1012, F200)</f>
        <v>42702270</v>
      </c>
    </row>
    <row r="201" spans="2:9" x14ac:dyDescent="0.2">
      <c r="B201" s="62">
        <v>42452</v>
      </c>
      <c r="C201" s="72">
        <v>53.97</v>
      </c>
      <c r="D201" s="71">
        <v>20123800</v>
      </c>
      <c r="E201" s="66" t="s">
        <v>81</v>
      </c>
      <c r="F201" s="16">
        <f t="shared" si="9"/>
        <v>812</v>
      </c>
      <c r="G201" s="67" cm="1">
        <f t="array" ref="G201">INDEX($B$5:$B$1012, F201)</f>
        <v>41558</v>
      </c>
      <c r="H201" s="69" cm="1">
        <f t="array" ref="H201">INDEX($C$5:$C$1012, F201)</f>
        <v>34.130000000000003</v>
      </c>
      <c r="I201" s="70" cm="1">
        <f t="array" ref="I201">INDEX($D$5:$D$1012, F201)</f>
        <v>30030750</v>
      </c>
    </row>
    <row r="202" spans="2:9" x14ac:dyDescent="0.2">
      <c r="B202" s="62">
        <v>42451</v>
      </c>
      <c r="C202" s="72">
        <v>54.07</v>
      </c>
      <c r="D202" s="71">
        <v>23105140</v>
      </c>
      <c r="E202" s="66" t="s">
        <v>81</v>
      </c>
      <c r="F202" s="16">
        <f t="shared" si="9"/>
        <v>811</v>
      </c>
      <c r="G202" s="67" cm="1">
        <f t="array" ref="G202">INDEX($B$5:$B$1012, F202)</f>
        <v>41561</v>
      </c>
      <c r="H202" s="69" cm="1">
        <f t="array" ref="H202">INDEX($C$5:$C$1012, F202)</f>
        <v>34.450000000000003</v>
      </c>
      <c r="I202" s="70" cm="1">
        <f t="array" ref="I202">INDEX($D$5:$D$1012, F202)</f>
        <v>27748620</v>
      </c>
    </row>
    <row r="203" spans="2:9" x14ac:dyDescent="0.2">
      <c r="B203" s="62">
        <v>42450</v>
      </c>
      <c r="C203" s="72">
        <v>53.86</v>
      </c>
      <c r="D203" s="71">
        <v>23920160</v>
      </c>
      <c r="E203" s="66" t="s">
        <v>81</v>
      </c>
      <c r="F203" s="16">
        <f t="shared" si="9"/>
        <v>810</v>
      </c>
      <c r="G203" s="67" cm="1">
        <f t="array" ref="G203">INDEX($B$5:$B$1012, F203)</f>
        <v>41562</v>
      </c>
      <c r="H203" s="69" cm="1">
        <f t="array" ref="H203">INDEX($C$5:$C$1012, F203)</f>
        <v>34.49</v>
      </c>
      <c r="I203" s="70" cm="1">
        <f t="array" ref="I203">INDEX($D$5:$D$1012, F203)</f>
        <v>47096400</v>
      </c>
    </row>
    <row r="204" spans="2:9" x14ac:dyDescent="0.2">
      <c r="B204" s="62">
        <v>42447</v>
      </c>
      <c r="C204" s="72">
        <v>53.49</v>
      </c>
      <c r="D204" s="71">
        <v>67622520</v>
      </c>
      <c r="E204" s="66" t="s">
        <v>81</v>
      </c>
      <c r="F204" s="16">
        <f t="shared" si="9"/>
        <v>809</v>
      </c>
      <c r="G204" s="67" cm="1">
        <f t="array" ref="G204">INDEX($B$5:$B$1012, F204)</f>
        <v>41563</v>
      </c>
      <c r="H204" s="69" cm="1">
        <f t="array" ref="H204">INDEX($C$5:$C$1012, F204)</f>
        <v>34.64</v>
      </c>
      <c r="I204" s="70" cm="1">
        <f t="array" ref="I204">INDEX($D$5:$D$1012, F204)</f>
        <v>34959120</v>
      </c>
    </row>
    <row r="205" spans="2:9" x14ac:dyDescent="0.2">
      <c r="B205" s="62">
        <v>42446</v>
      </c>
      <c r="C205" s="72">
        <v>54.66</v>
      </c>
      <c r="D205" s="71">
        <v>28193010</v>
      </c>
      <c r="E205" s="66" t="s">
        <v>81</v>
      </c>
      <c r="F205" s="16">
        <f t="shared" si="9"/>
        <v>808</v>
      </c>
      <c r="G205" s="67" cm="1">
        <f t="array" ref="G205">INDEX($B$5:$B$1012, F205)</f>
        <v>41564</v>
      </c>
      <c r="H205" s="69" cm="1">
        <f t="array" ref="H205">INDEX($C$5:$C$1012, F205)</f>
        <v>34.92</v>
      </c>
      <c r="I205" s="70" cm="1">
        <f t="array" ref="I205">INDEX($D$5:$D$1012, F205)</f>
        <v>31332860</v>
      </c>
    </row>
    <row r="206" spans="2:9" x14ac:dyDescent="0.2">
      <c r="B206" s="62">
        <v>42445</v>
      </c>
      <c r="C206" s="72">
        <v>54.35</v>
      </c>
      <c r="D206" s="71">
        <v>31679130</v>
      </c>
      <c r="E206" s="66" t="s">
        <v>81</v>
      </c>
      <c r="F206" s="16">
        <f t="shared" si="9"/>
        <v>807</v>
      </c>
      <c r="G206" s="67" cm="1">
        <f t="array" ref="G206">INDEX($B$5:$B$1012, F206)</f>
        <v>41565</v>
      </c>
      <c r="H206" s="69" cm="1">
        <f t="array" ref="H206">INDEX($C$5:$C$1012, F206)</f>
        <v>34.96</v>
      </c>
      <c r="I206" s="70" cm="1">
        <f t="array" ref="I206">INDEX($D$5:$D$1012, F206)</f>
        <v>41790110</v>
      </c>
    </row>
    <row r="207" spans="2:9" x14ac:dyDescent="0.2">
      <c r="B207" s="62">
        <v>42444</v>
      </c>
      <c r="C207" s="72">
        <v>53.59</v>
      </c>
      <c r="D207" s="71">
        <v>21011480</v>
      </c>
      <c r="E207" s="66" t="s">
        <v>81</v>
      </c>
      <c r="F207" s="16">
        <f t="shared" si="9"/>
        <v>806</v>
      </c>
      <c r="G207" s="67" cm="1">
        <f t="array" ref="G207">INDEX($B$5:$B$1012, F207)</f>
        <v>41568</v>
      </c>
      <c r="H207" s="69" cm="1">
        <f t="array" ref="H207">INDEX($C$5:$C$1012, F207)</f>
        <v>34.99</v>
      </c>
      <c r="I207" s="70" cm="1">
        <f t="array" ref="I207">INDEX($D$5:$D$1012, F207)</f>
        <v>27433510</v>
      </c>
    </row>
    <row r="208" spans="2:9" x14ac:dyDescent="0.2">
      <c r="B208" s="62">
        <v>42443</v>
      </c>
      <c r="C208" s="72">
        <v>53.17</v>
      </c>
      <c r="D208" s="71">
        <v>24079770</v>
      </c>
      <c r="E208" s="66" t="s">
        <v>81</v>
      </c>
      <c r="F208" s="16">
        <f t="shared" si="9"/>
        <v>805</v>
      </c>
      <c r="G208" s="67" cm="1">
        <f t="array" ref="G208">INDEX($B$5:$B$1012, F208)</f>
        <v>41569</v>
      </c>
      <c r="H208" s="69" cm="1">
        <f t="array" ref="H208">INDEX($C$5:$C$1012, F208)</f>
        <v>34.58</v>
      </c>
      <c r="I208" s="70" cm="1">
        <f t="array" ref="I208">INDEX($D$5:$D$1012, F208)</f>
        <v>40343530</v>
      </c>
    </row>
    <row r="209" spans="2:9" x14ac:dyDescent="0.2">
      <c r="B209" s="62">
        <v>42440</v>
      </c>
      <c r="C209" s="72">
        <v>53.07</v>
      </c>
      <c r="D209" s="71">
        <v>32267360</v>
      </c>
      <c r="E209" s="66" t="s">
        <v>81</v>
      </c>
      <c r="F209" s="16">
        <f t="shared" si="9"/>
        <v>804</v>
      </c>
      <c r="G209" s="67" cm="1">
        <f t="array" ref="G209">INDEX($B$5:$B$1012, F209)</f>
        <v>41570</v>
      </c>
      <c r="H209" s="69" cm="1">
        <f t="array" ref="H209">INDEX($C$5:$C$1012, F209)</f>
        <v>33.76</v>
      </c>
      <c r="I209" s="70" cm="1">
        <f t="array" ref="I209">INDEX($D$5:$D$1012, F209)</f>
        <v>58422670</v>
      </c>
    </row>
    <row r="210" spans="2:9" x14ac:dyDescent="0.2">
      <c r="B210" s="62">
        <v>42439</v>
      </c>
      <c r="C210" s="72">
        <v>52.05</v>
      </c>
      <c r="D210" s="71">
        <v>38385600</v>
      </c>
      <c r="E210" s="66" t="s">
        <v>81</v>
      </c>
      <c r="F210" s="16">
        <f t="shared" si="9"/>
        <v>803</v>
      </c>
      <c r="G210" s="67" cm="1">
        <f t="array" ref="G210">INDEX($B$5:$B$1012, F210)</f>
        <v>41571</v>
      </c>
      <c r="H210" s="69" cm="1">
        <f t="array" ref="H210">INDEX($C$5:$C$1012, F210)</f>
        <v>33.72</v>
      </c>
      <c r="I210" s="70" cm="1">
        <f t="array" ref="I210">INDEX($D$5:$D$1012, F210)</f>
        <v>51861010</v>
      </c>
    </row>
    <row r="211" spans="2:9" x14ac:dyDescent="0.2">
      <c r="B211" s="62">
        <v>42438</v>
      </c>
      <c r="C211" s="72">
        <v>52.84</v>
      </c>
      <c r="D211" s="71">
        <v>28238270</v>
      </c>
      <c r="E211" s="66" t="s">
        <v>81</v>
      </c>
      <c r="F211" s="16">
        <f t="shared" si="9"/>
        <v>802</v>
      </c>
      <c r="G211" s="67" cm="1">
        <f t="array" ref="G211">INDEX($B$5:$B$1012, F211)</f>
        <v>41572</v>
      </c>
      <c r="H211" s="69" cm="1">
        <f t="array" ref="H211">INDEX($C$5:$C$1012, F211)</f>
        <v>35.729999999999997</v>
      </c>
      <c r="I211" s="70" cm="1">
        <f t="array" ref="I211">INDEX($D$5:$D$1012, F211)</f>
        <v>113467800</v>
      </c>
    </row>
    <row r="212" spans="2:9" x14ac:dyDescent="0.2">
      <c r="B212" s="62">
        <v>42437</v>
      </c>
      <c r="C212" s="72">
        <v>51.65</v>
      </c>
      <c r="D212" s="71">
        <v>33822940</v>
      </c>
      <c r="E212" s="66" t="s">
        <v>81</v>
      </c>
      <c r="F212" s="16">
        <f t="shared" si="9"/>
        <v>801</v>
      </c>
      <c r="G212" s="67" cm="1">
        <f t="array" ref="G212">INDEX($B$5:$B$1012, F212)</f>
        <v>41575</v>
      </c>
      <c r="H212" s="69" cm="1">
        <f t="array" ref="H212">INDEX($C$5:$C$1012, F212)</f>
        <v>35.57</v>
      </c>
      <c r="I212" s="70" cm="1">
        <f t="array" ref="I212">INDEX($D$5:$D$1012, F212)</f>
        <v>38269380</v>
      </c>
    </row>
    <row r="213" spans="2:9" x14ac:dyDescent="0.2">
      <c r="B213" s="62">
        <v>42436</v>
      </c>
      <c r="C213" s="72">
        <v>51.03</v>
      </c>
      <c r="D213" s="71">
        <v>38426220</v>
      </c>
      <c r="E213" s="66" t="s">
        <v>81</v>
      </c>
      <c r="F213" s="16">
        <f t="shared" si="9"/>
        <v>800</v>
      </c>
      <c r="G213" s="67" cm="1">
        <f t="array" ref="G213">INDEX($B$5:$B$1012, F213)</f>
        <v>41576</v>
      </c>
      <c r="H213" s="69" cm="1">
        <f t="array" ref="H213">INDEX($C$5:$C$1012, F213)</f>
        <v>35.520000000000003</v>
      </c>
      <c r="I213" s="70" cm="1">
        <f t="array" ref="I213">INDEX($D$5:$D$1012, F213)</f>
        <v>31702210</v>
      </c>
    </row>
    <row r="214" spans="2:9" x14ac:dyDescent="0.2">
      <c r="B214" s="62">
        <v>42433</v>
      </c>
      <c r="C214" s="72">
        <v>52.03</v>
      </c>
      <c r="D214" s="71">
        <v>33033010</v>
      </c>
      <c r="E214" s="66" t="s">
        <v>81</v>
      </c>
      <c r="F214" s="16">
        <f t="shared" si="9"/>
        <v>799</v>
      </c>
      <c r="G214" s="67" cm="1">
        <f t="array" ref="G214">INDEX($B$5:$B$1012, F214)</f>
        <v>41577</v>
      </c>
      <c r="H214" s="69" cm="1">
        <f t="array" ref="H214">INDEX($C$5:$C$1012, F214)</f>
        <v>35.54</v>
      </c>
      <c r="I214" s="70" cm="1">
        <f t="array" ref="I214">INDEX($D$5:$D$1012, F214)</f>
        <v>36997340</v>
      </c>
    </row>
    <row r="215" spans="2:9" x14ac:dyDescent="0.2">
      <c r="B215" s="62">
        <v>42432</v>
      </c>
      <c r="C215" s="72">
        <v>52.35</v>
      </c>
      <c r="D215" s="71">
        <v>24423260</v>
      </c>
      <c r="E215" s="66" t="s">
        <v>81</v>
      </c>
      <c r="F215" s="16">
        <f t="shared" si="9"/>
        <v>798</v>
      </c>
      <c r="G215" s="67" cm="1">
        <f t="array" ref="G215">INDEX($B$5:$B$1012, F215)</f>
        <v>41578</v>
      </c>
      <c r="H215" s="69" cm="1">
        <f t="array" ref="H215">INDEX($C$5:$C$1012, F215)</f>
        <v>35.405000000000001</v>
      </c>
      <c r="I215" s="70" cm="1">
        <f t="array" ref="I215">INDEX($D$5:$D$1012, F215)</f>
        <v>41681980</v>
      </c>
    </row>
    <row r="216" spans="2:9" x14ac:dyDescent="0.2">
      <c r="B216" s="62">
        <v>42431</v>
      </c>
      <c r="C216" s="72">
        <v>52.95</v>
      </c>
      <c r="D216" s="71">
        <v>29269240</v>
      </c>
      <c r="E216" s="66" t="s">
        <v>81</v>
      </c>
      <c r="F216" s="16">
        <f t="shared" si="9"/>
        <v>797</v>
      </c>
      <c r="G216" s="67" cm="1">
        <f t="array" ref="G216">INDEX($B$5:$B$1012, F216)</f>
        <v>41579</v>
      </c>
      <c r="H216" s="69" cm="1">
        <f t="array" ref="H216">INDEX($C$5:$C$1012, F216)</f>
        <v>35.524999999999999</v>
      </c>
      <c r="I216" s="70" cm="1">
        <f t="array" ref="I216">INDEX($D$5:$D$1012, F216)</f>
        <v>40264390</v>
      </c>
    </row>
    <row r="217" spans="2:9" x14ac:dyDescent="0.2">
      <c r="B217" s="62">
        <v>42430</v>
      </c>
      <c r="C217" s="72">
        <v>52.58</v>
      </c>
      <c r="D217" s="71">
        <v>32999880</v>
      </c>
      <c r="E217" s="66" t="s">
        <v>81</v>
      </c>
      <c r="F217" s="16">
        <f t="shared" si="9"/>
        <v>796</v>
      </c>
      <c r="G217" s="67" cm="1">
        <f t="array" ref="G217">INDEX($B$5:$B$1012, F217)</f>
        <v>41582</v>
      </c>
      <c r="H217" s="69" cm="1">
        <f t="array" ref="H217">INDEX($C$5:$C$1012, F217)</f>
        <v>35.94</v>
      </c>
      <c r="I217" s="70" cm="1">
        <f t="array" ref="I217">INDEX($D$5:$D$1012, F217)</f>
        <v>28059990</v>
      </c>
    </row>
    <row r="218" spans="2:9" x14ac:dyDescent="0.2">
      <c r="B218" s="62">
        <v>42429</v>
      </c>
      <c r="C218" s="72">
        <v>50.88</v>
      </c>
      <c r="D218" s="71">
        <v>31632160</v>
      </c>
      <c r="E218" s="66" t="s">
        <v>81</v>
      </c>
      <c r="F218" s="16">
        <f t="shared" si="9"/>
        <v>795</v>
      </c>
      <c r="G218" s="67" cm="1">
        <f t="array" ref="G218">INDEX($B$5:$B$1012, F218)</f>
        <v>41583</v>
      </c>
      <c r="H218" s="69" cm="1">
        <f t="array" ref="H218">INDEX($C$5:$C$1012, F218)</f>
        <v>36.64</v>
      </c>
      <c r="I218" s="70" cm="1">
        <f t="array" ref="I218">INDEX($D$5:$D$1012, F218)</f>
        <v>51636470</v>
      </c>
    </row>
    <row r="219" spans="2:9" x14ac:dyDescent="0.2">
      <c r="B219" s="62">
        <v>42426</v>
      </c>
      <c r="C219" s="72">
        <v>51.3</v>
      </c>
      <c r="D219" s="71">
        <v>35945290</v>
      </c>
      <c r="E219" s="66" t="s">
        <v>81</v>
      </c>
      <c r="F219" s="16">
        <f t="shared" si="9"/>
        <v>794</v>
      </c>
      <c r="G219" s="67" cm="1">
        <f t="array" ref="G219">INDEX($B$5:$B$1012, F219)</f>
        <v>41584</v>
      </c>
      <c r="H219" s="69" cm="1">
        <f t="array" ref="H219">INDEX($C$5:$C$1012, F219)</f>
        <v>38.18</v>
      </c>
      <c r="I219" s="70" cm="1">
        <f t="array" ref="I219">INDEX($D$5:$D$1012, F219)</f>
        <v>88882640</v>
      </c>
    </row>
    <row r="220" spans="2:9" x14ac:dyDescent="0.2">
      <c r="B220" s="62">
        <v>42425</v>
      </c>
      <c r="C220" s="72">
        <v>52.1</v>
      </c>
      <c r="D220" s="71">
        <v>26906570</v>
      </c>
      <c r="E220" s="66" t="s">
        <v>81</v>
      </c>
      <c r="F220" s="16">
        <f t="shared" si="9"/>
        <v>793</v>
      </c>
      <c r="G220" s="67" cm="1">
        <f t="array" ref="G220">INDEX($B$5:$B$1012, F220)</f>
        <v>41585</v>
      </c>
      <c r="H220" s="69" cm="1">
        <f t="array" ref="H220">INDEX($C$5:$C$1012, F220)</f>
        <v>37.5</v>
      </c>
      <c r="I220" s="70" cm="1">
        <f t="array" ref="I220">INDEX($D$5:$D$1012, F220)</f>
        <v>60436870</v>
      </c>
    </row>
    <row r="221" spans="2:9" x14ac:dyDescent="0.2">
      <c r="B221" s="62">
        <v>42424</v>
      </c>
      <c r="C221" s="72">
        <v>51.36</v>
      </c>
      <c r="D221" s="71">
        <v>32918630</v>
      </c>
      <c r="E221" s="66" t="s">
        <v>81</v>
      </c>
      <c r="F221" s="16">
        <f t="shared" si="9"/>
        <v>792</v>
      </c>
      <c r="G221" s="67" cm="1">
        <f t="array" ref="G221">INDEX($B$5:$B$1012, F221)</f>
        <v>41586</v>
      </c>
      <c r="H221" s="69" cm="1">
        <f t="array" ref="H221">INDEX($C$5:$C$1012, F221)</f>
        <v>37.78</v>
      </c>
      <c r="I221" s="70" cm="1">
        <f t="array" ref="I221">INDEX($D$5:$D$1012, F221)</f>
        <v>36737380</v>
      </c>
    </row>
    <row r="222" spans="2:9" x14ac:dyDescent="0.2">
      <c r="B222" s="62">
        <v>42423</v>
      </c>
      <c r="C222" s="72">
        <v>51.18</v>
      </c>
      <c r="D222" s="71">
        <v>28866480</v>
      </c>
      <c r="E222" s="66" t="s">
        <v>81</v>
      </c>
      <c r="F222" s="16">
        <f t="shared" si="9"/>
        <v>791</v>
      </c>
      <c r="G222" s="67" cm="1">
        <f t="array" ref="G222">INDEX($B$5:$B$1012, F222)</f>
        <v>41589</v>
      </c>
      <c r="H222" s="69" cm="1">
        <f t="array" ref="H222">INDEX($C$5:$C$1012, F222)</f>
        <v>37.590000000000003</v>
      </c>
      <c r="I222" s="70" cm="1">
        <f t="array" ref="I222">INDEX($D$5:$D$1012, F222)</f>
        <v>26833550</v>
      </c>
    </row>
    <row r="223" spans="2:9" x14ac:dyDescent="0.2">
      <c r="B223" s="62">
        <v>42422</v>
      </c>
      <c r="C223" s="72">
        <v>52.65</v>
      </c>
      <c r="D223" s="71">
        <v>24992030</v>
      </c>
      <c r="E223" s="66" t="s">
        <v>81</v>
      </c>
      <c r="F223" s="16">
        <f t="shared" si="9"/>
        <v>790</v>
      </c>
      <c r="G223" s="67" cm="1">
        <f t="array" ref="G223">INDEX($B$5:$B$1012, F223)</f>
        <v>41590</v>
      </c>
      <c r="H223" s="69" cm="1">
        <f t="array" ref="H223">INDEX($C$5:$C$1012, F223)</f>
        <v>37.36</v>
      </c>
      <c r="I223" s="70" cm="1">
        <f t="array" ref="I223">INDEX($D$5:$D$1012, F223)</f>
        <v>31850190</v>
      </c>
    </row>
    <row r="224" spans="2:9" x14ac:dyDescent="0.2">
      <c r="B224" s="62">
        <v>42419</v>
      </c>
      <c r="C224" s="72">
        <v>51.82</v>
      </c>
      <c r="D224" s="71">
        <v>33531580</v>
      </c>
      <c r="E224" s="66" t="s">
        <v>81</v>
      </c>
      <c r="F224" s="16">
        <f t="shared" si="9"/>
        <v>789</v>
      </c>
      <c r="G224" s="67" cm="1">
        <f t="array" ref="G224">INDEX($B$5:$B$1012, F224)</f>
        <v>41591</v>
      </c>
      <c r="H224" s="69" cm="1">
        <f t="array" ref="H224">INDEX($C$5:$C$1012, F224)</f>
        <v>38.155000000000001</v>
      </c>
      <c r="I224" s="70" cm="1">
        <f t="array" ref="I224">INDEX($D$5:$D$1012, F224)</f>
        <v>44908560</v>
      </c>
    </row>
    <row r="225" spans="2:9" x14ac:dyDescent="0.2">
      <c r="B225" s="62">
        <v>42418</v>
      </c>
      <c r="C225" s="72">
        <v>52.19</v>
      </c>
      <c r="D225" s="71">
        <v>27016950</v>
      </c>
      <c r="E225" s="66" t="s">
        <v>81</v>
      </c>
      <c r="F225" s="16">
        <f t="shared" si="9"/>
        <v>788</v>
      </c>
      <c r="G225" s="67" cm="1">
        <f t="array" ref="G225">INDEX($B$5:$B$1012, F225)</f>
        <v>41592</v>
      </c>
      <c r="H225" s="69" cm="1">
        <f t="array" ref="H225">INDEX($C$5:$C$1012, F225)</f>
        <v>38.021000000000001</v>
      </c>
      <c r="I225" s="70" cm="1">
        <f t="array" ref="I225">INDEX($D$5:$D$1012, F225)</f>
        <v>46183380</v>
      </c>
    </row>
    <row r="226" spans="2:9" x14ac:dyDescent="0.2">
      <c r="B226" s="62">
        <v>42417</v>
      </c>
      <c r="C226" s="72">
        <v>52.42</v>
      </c>
      <c r="D226" s="71">
        <v>40779580</v>
      </c>
      <c r="E226" s="66" t="s">
        <v>81</v>
      </c>
      <c r="F226" s="16">
        <f t="shared" si="9"/>
        <v>787</v>
      </c>
      <c r="G226" s="67" cm="1">
        <f t="array" ref="G226">INDEX($B$5:$B$1012, F226)</f>
        <v>41593</v>
      </c>
      <c r="H226" s="69" cm="1">
        <f t="array" ref="H226">INDEX($C$5:$C$1012, F226)</f>
        <v>37.841000000000001</v>
      </c>
      <c r="I226" s="70" cm="1">
        <f t="array" ref="I226">INDEX($D$5:$D$1012, F226)</f>
        <v>50601080</v>
      </c>
    </row>
    <row r="227" spans="2:9" x14ac:dyDescent="0.2">
      <c r="B227" s="62">
        <v>42416</v>
      </c>
      <c r="C227" s="72">
        <v>51.09</v>
      </c>
      <c r="D227" s="71">
        <v>36460400</v>
      </c>
      <c r="E227" s="66" t="s">
        <v>81</v>
      </c>
      <c r="F227" s="16">
        <f t="shared" si="9"/>
        <v>786</v>
      </c>
      <c r="G227" s="67" cm="1">
        <f t="array" ref="G227">INDEX($B$5:$B$1012, F227)</f>
        <v>41596</v>
      </c>
      <c r="H227" s="69" cm="1">
        <f t="array" ref="H227">INDEX($C$5:$C$1012, F227)</f>
        <v>37.200000000000003</v>
      </c>
      <c r="I227" s="70" cm="1">
        <f t="array" ref="I227">INDEX($D$5:$D$1012, F227)</f>
        <v>53250230</v>
      </c>
    </row>
    <row r="228" spans="2:9" x14ac:dyDescent="0.2">
      <c r="B228" s="62">
        <v>42412</v>
      </c>
      <c r="C228" s="72">
        <v>50.5</v>
      </c>
      <c r="D228" s="71">
        <v>34216160</v>
      </c>
      <c r="E228" s="66" t="s">
        <v>81</v>
      </c>
      <c r="F228" s="16">
        <f t="shared" si="9"/>
        <v>785</v>
      </c>
      <c r="G228" s="67" cm="1">
        <f t="array" ref="G228">INDEX($B$5:$B$1012, F228)</f>
        <v>41597</v>
      </c>
      <c r="H228" s="69" cm="1">
        <f t="array" ref="H228">INDEX($C$5:$C$1012, F228)</f>
        <v>36.74</v>
      </c>
      <c r="I228" s="70" cm="1">
        <f t="array" ref="I228">INDEX($D$5:$D$1012, F228)</f>
        <v>44253730</v>
      </c>
    </row>
    <row r="229" spans="2:9" x14ac:dyDescent="0.2">
      <c r="B229" s="62">
        <v>42411</v>
      </c>
      <c r="C229" s="72">
        <v>49.69</v>
      </c>
      <c r="D229" s="71">
        <v>48855890</v>
      </c>
      <c r="E229" s="66" t="s">
        <v>81</v>
      </c>
      <c r="F229" s="16">
        <f t="shared" si="9"/>
        <v>784</v>
      </c>
      <c r="G229" s="67" cm="1">
        <f t="array" ref="G229">INDEX($B$5:$B$1012, F229)</f>
        <v>41598</v>
      </c>
      <c r="H229" s="69" cm="1">
        <f t="array" ref="H229">INDEX($C$5:$C$1012, F229)</f>
        <v>37.08</v>
      </c>
      <c r="I229" s="70" cm="1">
        <f t="array" ref="I229">INDEX($D$5:$D$1012, F229)</f>
        <v>32229950</v>
      </c>
    </row>
    <row r="230" spans="2:9" x14ac:dyDescent="0.2">
      <c r="B230" s="62">
        <v>42410</v>
      </c>
      <c r="C230" s="72">
        <v>49.71</v>
      </c>
      <c r="D230" s="71">
        <v>38220450</v>
      </c>
      <c r="E230" s="66" t="s">
        <v>81</v>
      </c>
      <c r="F230" s="16">
        <f t="shared" si="9"/>
        <v>783</v>
      </c>
      <c r="G230" s="67" cm="1">
        <f t="array" ref="G230">INDEX($B$5:$B$1012, F230)</f>
        <v>41599</v>
      </c>
      <c r="H230" s="69" cm="1">
        <f t="array" ref="H230">INDEX($C$5:$C$1012, F230)</f>
        <v>37.4</v>
      </c>
      <c r="I230" s="70" cm="1">
        <f t="array" ref="I230">INDEX($D$5:$D$1012, F230)</f>
        <v>23039300</v>
      </c>
    </row>
    <row r="231" spans="2:9" x14ac:dyDescent="0.2">
      <c r="B231" s="62">
        <v>42409</v>
      </c>
      <c r="C231" s="72">
        <v>49.28</v>
      </c>
      <c r="D231" s="71">
        <v>46589450</v>
      </c>
      <c r="E231" s="66" t="s">
        <v>81</v>
      </c>
      <c r="F231" s="16">
        <f t="shared" si="9"/>
        <v>782</v>
      </c>
      <c r="G231" s="67" cm="1">
        <f t="array" ref="G231">INDEX($B$5:$B$1012, F231)</f>
        <v>41600</v>
      </c>
      <c r="H231" s="69" cm="1">
        <f t="array" ref="H231">INDEX($C$5:$C$1012, F231)</f>
        <v>37.57</v>
      </c>
      <c r="I231" s="70" cm="1">
        <f t="array" ref="I231">INDEX($D$5:$D$1012, F231)</f>
        <v>27970790</v>
      </c>
    </row>
    <row r="232" spans="2:9" x14ac:dyDescent="0.2">
      <c r="B232" s="62">
        <v>42408</v>
      </c>
      <c r="C232" s="72">
        <v>49.41</v>
      </c>
      <c r="D232" s="71">
        <v>58393070</v>
      </c>
      <c r="E232" s="66" t="s">
        <v>81</v>
      </c>
      <c r="F232" s="16">
        <f t="shared" si="9"/>
        <v>781</v>
      </c>
      <c r="G232" s="67" cm="1">
        <f t="array" ref="G232">INDEX($B$5:$B$1012, F232)</f>
        <v>41603</v>
      </c>
      <c r="H232" s="69" cm="1">
        <f t="array" ref="H232">INDEX($C$5:$C$1012, F232)</f>
        <v>37.64</v>
      </c>
      <c r="I232" s="70" cm="1">
        <f t="array" ref="I232">INDEX($D$5:$D$1012, F232)</f>
        <v>30646250</v>
      </c>
    </row>
    <row r="233" spans="2:9" x14ac:dyDescent="0.2">
      <c r="B233" s="62">
        <v>42405</v>
      </c>
      <c r="C233" s="72">
        <v>50.16</v>
      </c>
      <c r="D233" s="71">
        <v>61262540</v>
      </c>
      <c r="E233" s="66" t="s">
        <v>81</v>
      </c>
      <c r="F233" s="16">
        <f t="shared" si="9"/>
        <v>780</v>
      </c>
      <c r="G233" s="67" cm="1">
        <f t="array" ref="G233">INDEX($B$5:$B$1012, F233)</f>
        <v>41604</v>
      </c>
      <c r="H233" s="69" cm="1">
        <f t="array" ref="H233">INDEX($C$5:$C$1012, F233)</f>
        <v>37.35</v>
      </c>
      <c r="I233" s="70" cm="1">
        <f t="array" ref="I233">INDEX($D$5:$D$1012, F233)</f>
        <v>34464750</v>
      </c>
    </row>
    <row r="234" spans="2:9" x14ac:dyDescent="0.2">
      <c r="B234" s="62">
        <v>42404</v>
      </c>
      <c r="C234" s="72">
        <v>52</v>
      </c>
      <c r="D234" s="71">
        <v>46967100</v>
      </c>
      <c r="E234" s="66" t="s">
        <v>81</v>
      </c>
      <c r="F234" s="16">
        <f t="shared" si="9"/>
        <v>779</v>
      </c>
      <c r="G234" s="67" cm="1">
        <f t="array" ref="G234">INDEX($B$5:$B$1012, F234)</f>
        <v>41605</v>
      </c>
      <c r="H234" s="69" cm="1">
        <f t="array" ref="H234">INDEX($C$5:$C$1012, F234)</f>
        <v>37.6</v>
      </c>
      <c r="I234" s="70" cm="1">
        <f t="array" ref="I234">INDEX($D$5:$D$1012, F234)</f>
        <v>26001220</v>
      </c>
    </row>
    <row r="235" spans="2:9" x14ac:dyDescent="0.2">
      <c r="B235" s="62">
        <v>42403</v>
      </c>
      <c r="C235" s="72">
        <v>52.16</v>
      </c>
      <c r="D235" s="71">
        <v>57526850</v>
      </c>
      <c r="E235" s="66" t="s">
        <v>81</v>
      </c>
      <c r="F235" s="16">
        <f t="shared" si="9"/>
        <v>778</v>
      </c>
      <c r="G235" s="67" cm="1">
        <f t="array" ref="G235">INDEX($B$5:$B$1012, F235)</f>
        <v>41607</v>
      </c>
      <c r="H235" s="69" cm="1">
        <f t="array" ref="H235">INDEX($C$5:$C$1012, F235)</f>
        <v>38.130000000000003</v>
      </c>
      <c r="I235" s="70" cm="1">
        <f t="array" ref="I235">INDEX($D$5:$D$1012, F235)</f>
        <v>22090430</v>
      </c>
    </row>
    <row r="236" spans="2:9" x14ac:dyDescent="0.2">
      <c r="B236" s="62">
        <v>42402</v>
      </c>
      <c r="C236" s="72">
        <v>53</v>
      </c>
      <c r="D236" s="71">
        <v>55388320</v>
      </c>
      <c r="E236" s="66" t="s">
        <v>81</v>
      </c>
      <c r="F236" s="16">
        <f t="shared" si="9"/>
        <v>777</v>
      </c>
      <c r="G236" s="67" cm="1">
        <f t="array" ref="G236">INDEX($B$5:$B$1012, F236)</f>
        <v>41610</v>
      </c>
      <c r="H236" s="69" cm="1">
        <f t="array" ref="H236">INDEX($C$5:$C$1012, F236)</f>
        <v>38.450000000000003</v>
      </c>
      <c r="I236" s="70" cm="1">
        <f t="array" ref="I236">INDEX($D$5:$D$1012, F236)</f>
        <v>42927720</v>
      </c>
    </row>
    <row r="237" spans="2:9" x14ac:dyDescent="0.2">
      <c r="B237" s="62">
        <v>42401</v>
      </c>
      <c r="C237" s="72">
        <v>54.71</v>
      </c>
      <c r="D237" s="71">
        <v>44172930</v>
      </c>
      <c r="E237" s="66" t="s">
        <v>81</v>
      </c>
      <c r="F237" s="16">
        <f t="shared" si="9"/>
        <v>776</v>
      </c>
      <c r="G237" s="67" cm="1">
        <f t="array" ref="G237">INDEX($B$5:$B$1012, F237)</f>
        <v>41611</v>
      </c>
      <c r="H237" s="69" cm="1">
        <f t="array" ref="H237">INDEX($C$5:$C$1012, F237)</f>
        <v>38.31</v>
      </c>
      <c r="I237" s="70" cm="1">
        <f t="array" ref="I237">INDEX($D$5:$D$1012, F237)</f>
        <v>52099230</v>
      </c>
    </row>
    <row r="238" spans="2:9" x14ac:dyDescent="0.2">
      <c r="B238" s="62">
        <v>42398</v>
      </c>
      <c r="C238" s="72">
        <v>55.09</v>
      </c>
      <c r="D238" s="71">
        <v>83559310</v>
      </c>
      <c r="E238" s="66" t="s">
        <v>81</v>
      </c>
      <c r="F238" s="16">
        <f t="shared" si="9"/>
        <v>775</v>
      </c>
      <c r="G238" s="67" cm="1">
        <f t="array" ref="G238">INDEX($B$5:$B$1012, F238)</f>
        <v>41612</v>
      </c>
      <c r="H238" s="69" cm="1">
        <f t="array" ref="H238">INDEX($C$5:$C$1012, F238)</f>
        <v>38.94</v>
      </c>
      <c r="I238" s="70" cm="1">
        <f t="array" ref="I238">INDEX($D$5:$D$1012, F238)</f>
        <v>51913320</v>
      </c>
    </row>
    <row r="239" spans="2:9" x14ac:dyDescent="0.2">
      <c r="B239" s="62">
        <v>42397</v>
      </c>
      <c r="C239" s="72">
        <v>52.055</v>
      </c>
      <c r="D239" s="71">
        <v>61275100</v>
      </c>
      <c r="E239" s="66" t="s">
        <v>81</v>
      </c>
      <c r="F239" s="16">
        <f t="shared" si="9"/>
        <v>774</v>
      </c>
      <c r="G239" s="67" cm="1">
        <f t="array" ref="G239">INDEX($B$5:$B$1012, F239)</f>
        <v>41613</v>
      </c>
      <c r="H239" s="69" cm="1">
        <f t="array" ref="H239">INDEX($C$5:$C$1012, F239)</f>
        <v>38</v>
      </c>
      <c r="I239" s="70" cm="1">
        <f t="array" ref="I239">INDEX($D$5:$D$1012, F239)</f>
        <v>116303700</v>
      </c>
    </row>
    <row r="240" spans="2:9" x14ac:dyDescent="0.2">
      <c r="B240" s="62">
        <v>42396</v>
      </c>
      <c r="C240" s="72">
        <v>51.22</v>
      </c>
      <c r="D240" s="71">
        <v>36647310</v>
      </c>
      <c r="E240" s="66" t="s">
        <v>81</v>
      </c>
      <c r="F240" s="16">
        <f t="shared" si="9"/>
        <v>773</v>
      </c>
      <c r="G240" s="67" cm="1">
        <f t="array" ref="G240">INDEX($B$5:$B$1012, F240)</f>
        <v>41614</v>
      </c>
      <c r="H240" s="69" cm="1">
        <f t="array" ref="H240">INDEX($C$5:$C$1012, F240)</f>
        <v>38.36</v>
      </c>
      <c r="I240" s="70" cm="1">
        <f t="array" ref="I240">INDEX($D$5:$D$1012, F240)</f>
        <v>36386790</v>
      </c>
    </row>
    <row r="241" spans="2:9" x14ac:dyDescent="0.2">
      <c r="B241" s="62">
        <v>42395</v>
      </c>
      <c r="C241" s="72">
        <v>52.17</v>
      </c>
      <c r="D241" s="71">
        <v>28768620</v>
      </c>
      <c r="E241" s="66" t="s">
        <v>81</v>
      </c>
      <c r="F241" s="16">
        <f t="shared" si="9"/>
        <v>772</v>
      </c>
      <c r="G241" s="67" cm="1">
        <f t="array" ref="G241">INDEX($B$5:$B$1012, F241)</f>
        <v>41617</v>
      </c>
      <c r="H241" s="69" cm="1">
        <f t="array" ref="H241">INDEX($C$5:$C$1012, F241)</f>
        <v>38.704999999999998</v>
      </c>
      <c r="I241" s="70" cm="1">
        <f t="array" ref="I241">INDEX($D$5:$D$1012, F241)</f>
        <v>30266960</v>
      </c>
    </row>
    <row r="242" spans="2:9" x14ac:dyDescent="0.2">
      <c r="B242" s="62">
        <v>42394</v>
      </c>
      <c r="C242" s="72">
        <v>51.79</v>
      </c>
      <c r="D242" s="71">
        <v>34654900</v>
      </c>
      <c r="E242" s="66" t="s">
        <v>81</v>
      </c>
      <c r="F242" s="16">
        <f t="shared" si="9"/>
        <v>771</v>
      </c>
      <c r="G242" s="67" cm="1">
        <f t="array" ref="G242">INDEX($B$5:$B$1012, F242)</f>
        <v>41618</v>
      </c>
      <c r="H242" s="69" cm="1">
        <f t="array" ref="H242">INDEX($C$5:$C$1012, F242)</f>
        <v>38.11</v>
      </c>
      <c r="I242" s="70" cm="1">
        <f t="array" ref="I242">INDEX($D$5:$D$1012, F242)</f>
        <v>37803720</v>
      </c>
    </row>
    <row r="243" spans="2:9" x14ac:dyDescent="0.2">
      <c r="B243" s="62">
        <v>42391</v>
      </c>
      <c r="C243" s="72">
        <v>52.29</v>
      </c>
      <c r="D243" s="71">
        <v>36881330</v>
      </c>
      <c r="E243" s="66" t="s">
        <v>81</v>
      </c>
      <c r="F243" s="16">
        <f t="shared" si="9"/>
        <v>770</v>
      </c>
      <c r="G243" s="67" cm="1">
        <f t="array" ref="G243">INDEX($B$5:$B$1012, F243)</f>
        <v>41619</v>
      </c>
      <c r="H243" s="69" cm="1">
        <f t="array" ref="H243">INDEX($C$5:$C$1012, F243)</f>
        <v>37.61</v>
      </c>
      <c r="I243" s="70" cm="1">
        <f t="array" ref="I243">INDEX($D$5:$D$1012, F243)</f>
        <v>39848810</v>
      </c>
    </row>
    <row r="244" spans="2:9" x14ac:dyDescent="0.2">
      <c r="B244" s="62">
        <v>42390</v>
      </c>
      <c r="C244" s="72">
        <v>50.48</v>
      </c>
      <c r="D244" s="71">
        <v>40172530</v>
      </c>
      <c r="E244" s="66" t="s">
        <v>81</v>
      </c>
      <c r="F244" s="16">
        <f t="shared" si="9"/>
        <v>769</v>
      </c>
      <c r="G244" s="67" cm="1">
        <f t="array" ref="G244">INDEX($B$5:$B$1012, F244)</f>
        <v>41620</v>
      </c>
      <c r="H244" s="69" cm="1">
        <f t="array" ref="H244">INDEX($C$5:$C$1012, F244)</f>
        <v>37.22</v>
      </c>
      <c r="I244" s="70" cm="1">
        <f t="array" ref="I244">INDEX($D$5:$D$1012, F244)</f>
        <v>35996660</v>
      </c>
    </row>
    <row r="245" spans="2:9" x14ac:dyDescent="0.2">
      <c r="B245" s="62">
        <v>42389</v>
      </c>
      <c r="C245" s="72">
        <v>50.79</v>
      </c>
      <c r="D245" s="71">
        <v>63249630</v>
      </c>
      <c r="E245" s="66" t="s">
        <v>81</v>
      </c>
      <c r="F245" s="16">
        <f t="shared" si="9"/>
        <v>768</v>
      </c>
      <c r="G245" s="67" cm="1">
        <f t="array" ref="G245">INDEX($B$5:$B$1012, F245)</f>
        <v>41621</v>
      </c>
      <c r="H245" s="69" cm="1">
        <f t="array" ref="H245">INDEX($C$5:$C$1012, F245)</f>
        <v>36.69</v>
      </c>
      <c r="I245" s="70" cm="1">
        <f t="array" ref="I245">INDEX($D$5:$D$1012, F245)</f>
        <v>40064640</v>
      </c>
    </row>
    <row r="246" spans="2:9" x14ac:dyDescent="0.2">
      <c r="B246" s="62">
        <v>42388</v>
      </c>
      <c r="C246" s="72">
        <v>50.56</v>
      </c>
      <c r="D246" s="71">
        <v>43484630</v>
      </c>
      <c r="E246" s="66" t="s">
        <v>81</v>
      </c>
      <c r="F246" s="16">
        <f t="shared" si="9"/>
        <v>767</v>
      </c>
      <c r="G246" s="67" cm="1">
        <f t="array" ref="G246">INDEX($B$5:$B$1012, F246)</f>
        <v>41624</v>
      </c>
      <c r="H246" s="69" cm="1">
        <f t="array" ref="H246">INDEX($C$5:$C$1012, F246)</f>
        <v>36.884999999999998</v>
      </c>
      <c r="I246" s="70" cm="1">
        <f t="array" ref="I246">INDEX($D$5:$D$1012, F246)</f>
        <v>31731550</v>
      </c>
    </row>
    <row r="247" spans="2:9" x14ac:dyDescent="0.2">
      <c r="B247" s="62">
        <v>42384</v>
      </c>
      <c r="C247" s="72">
        <v>50.99</v>
      </c>
      <c r="D247" s="71">
        <v>71037400</v>
      </c>
      <c r="E247" s="66" t="s">
        <v>81</v>
      </c>
      <c r="F247" s="16">
        <f t="shared" si="9"/>
        <v>766</v>
      </c>
      <c r="G247" s="67" cm="1">
        <f t="array" ref="G247">INDEX($B$5:$B$1012, F247)</f>
        <v>41625</v>
      </c>
      <c r="H247" s="69" cm="1">
        <f t="array" ref="H247">INDEX($C$5:$C$1012, F247)</f>
        <v>36.520000000000003</v>
      </c>
      <c r="I247" s="70" cm="1">
        <f t="array" ref="I247">INDEX($D$5:$D$1012, F247)</f>
        <v>45564370</v>
      </c>
    </row>
    <row r="248" spans="2:9" x14ac:dyDescent="0.2">
      <c r="B248" s="62">
        <v>42383</v>
      </c>
      <c r="C248" s="72">
        <v>53.11</v>
      </c>
      <c r="D248" s="71">
        <v>52227000</v>
      </c>
      <c r="E248" s="66" t="s">
        <v>81</v>
      </c>
      <c r="F248" s="16">
        <f t="shared" si="9"/>
        <v>765</v>
      </c>
      <c r="G248" s="67" cm="1">
        <f t="array" ref="G248">INDEX($B$5:$B$1012, F248)</f>
        <v>41626</v>
      </c>
      <c r="H248" s="69" cm="1">
        <f t="array" ref="H248">INDEX($C$5:$C$1012, F248)</f>
        <v>36.58</v>
      </c>
      <c r="I248" s="70" cm="1">
        <f t="array" ref="I248">INDEX($D$5:$D$1012, F248)</f>
        <v>63149770</v>
      </c>
    </row>
    <row r="249" spans="2:9" x14ac:dyDescent="0.2">
      <c r="B249" s="62">
        <v>42382</v>
      </c>
      <c r="C249" s="72">
        <v>51.64</v>
      </c>
      <c r="D249" s="71">
        <v>66862860</v>
      </c>
      <c r="E249" s="66" t="s">
        <v>81</v>
      </c>
      <c r="F249" s="16">
        <f t="shared" si="9"/>
        <v>764</v>
      </c>
      <c r="G249" s="67" cm="1">
        <f t="array" ref="G249">INDEX($B$5:$B$1012, F249)</f>
        <v>41627</v>
      </c>
      <c r="H249" s="69" cm="1">
        <f t="array" ref="H249">INDEX($C$5:$C$1012, F249)</f>
        <v>36.25</v>
      </c>
      <c r="I249" s="70" cm="1">
        <f t="array" ref="I249">INDEX($D$5:$D$1012, F249)</f>
        <v>34160060</v>
      </c>
    </row>
    <row r="250" spans="2:9" x14ac:dyDescent="0.2">
      <c r="B250" s="62">
        <v>42381</v>
      </c>
      <c r="C250" s="72">
        <v>52.78</v>
      </c>
      <c r="D250" s="71">
        <v>36061760</v>
      </c>
      <c r="E250" s="66" t="s">
        <v>81</v>
      </c>
      <c r="F250" s="16">
        <f t="shared" si="9"/>
        <v>763</v>
      </c>
      <c r="G250" s="67" cm="1">
        <f t="array" ref="G250">INDEX($B$5:$B$1012, F250)</f>
        <v>41628</v>
      </c>
      <c r="H250" s="69" cm="1">
        <f t="array" ref="H250">INDEX($C$5:$C$1012, F250)</f>
        <v>36.799999999999997</v>
      </c>
      <c r="I250" s="70" cm="1">
        <f t="array" ref="I250">INDEX($D$5:$D$1012, F250)</f>
        <v>62648640</v>
      </c>
    </row>
    <row r="251" spans="2:9" x14ac:dyDescent="0.2">
      <c r="B251" s="62">
        <v>42380</v>
      </c>
      <c r="C251" s="72">
        <v>52.3</v>
      </c>
      <c r="D251" s="71">
        <v>36889200</v>
      </c>
      <c r="E251" s="66" t="s">
        <v>81</v>
      </c>
      <c r="F251" s="16">
        <f t="shared" si="9"/>
        <v>762</v>
      </c>
      <c r="G251" s="67" cm="1">
        <f t="array" ref="G251">INDEX($B$5:$B$1012, F251)</f>
        <v>41631</v>
      </c>
      <c r="H251" s="69" cm="1">
        <f t="array" ref="H251">INDEX($C$5:$C$1012, F251)</f>
        <v>36.619999999999997</v>
      </c>
      <c r="I251" s="70" cm="1">
        <f t="array" ref="I251">INDEX($D$5:$D$1012, F251)</f>
        <v>25099850</v>
      </c>
    </row>
    <row r="252" spans="2:9" x14ac:dyDescent="0.2">
      <c r="B252" s="62">
        <v>42377</v>
      </c>
      <c r="C252" s="72">
        <v>52.33</v>
      </c>
      <c r="D252" s="71">
        <v>48718970</v>
      </c>
      <c r="E252" s="66" t="s">
        <v>81</v>
      </c>
      <c r="F252" s="16">
        <f t="shared" si="9"/>
        <v>761</v>
      </c>
      <c r="G252" s="67" cm="1">
        <f t="array" ref="G252">INDEX($B$5:$B$1012, F252)</f>
        <v>41632</v>
      </c>
      <c r="H252" s="69" cm="1">
        <f t="array" ref="H252">INDEX($C$5:$C$1012, F252)</f>
        <v>37.08</v>
      </c>
      <c r="I252" s="70" cm="1">
        <f t="array" ref="I252">INDEX($D$5:$D$1012, F252)</f>
        <v>14243000</v>
      </c>
    </row>
    <row r="253" spans="2:9" x14ac:dyDescent="0.2">
      <c r="B253" s="62">
        <v>42376</v>
      </c>
      <c r="C253" s="72">
        <v>52.17</v>
      </c>
      <c r="D253" s="71">
        <v>56497950</v>
      </c>
      <c r="E253" s="66" t="s">
        <v>81</v>
      </c>
      <c r="F253" s="16">
        <f t="shared" si="9"/>
        <v>760</v>
      </c>
      <c r="G253" s="67" cm="1">
        <f t="array" ref="G253">INDEX($B$5:$B$1012, F253)</f>
        <v>41634</v>
      </c>
      <c r="H253" s="69" cm="1">
        <f t="array" ref="H253">INDEX($C$5:$C$1012, F253)</f>
        <v>37.44</v>
      </c>
      <c r="I253" s="70" cm="1">
        <f t="array" ref="I253">INDEX($D$5:$D$1012, F253)</f>
        <v>17612780</v>
      </c>
    </row>
    <row r="254" spans="2:9" x14ac:dyDescent="0.2">
      <c r="B254" s="62">
        <v>42375</v>
      </c>
      <c r="C254" s="72">
        <v>54.05</v>
      </c>
      <c r="D254" s="71">
        <v>39498780</v>
      </c>
      <c r="E254" s="66" t="s">
        <v>81</v>
      </c>
      <c r="F254" s="16">
        <f t="shared" si="9"/>
        <v>759</v>
      </c>
      <c r="G254" s="67" cm="1">
        <f t="array" ref="G254">INDEX($B$5:$B$1012, F254)</f>
        <v>41635</v>
      </c>
      <c r="H254" s="69" cm="1">
        <f t="array" ref="H254">INDEX($C$5:$C$1012, F254)</f>
        <v>37.29</v>
      </c>
      <c r="I254" s="70" cm="1">
        <f t="array" ref="I254">INDEX($D$5:$D$1012, F254)</f>
        <v>14563010</v>
      </c>
    </row>
    <row r="255" spans="2:9" x14ac:dyDescent="0.2">
      <c r="B255" s="62">
        <v>42374</v>
      </c>
      <c r="C255" s="72">
        <v>55.05</v>
      </c>
      <c r="D255" s="71">
        <v>34059040</v>
      </c>
      <c r="E255" s="66" t="s">
        <v>81</v>
      </c>
      <c r="F255" s="16">
        <f t="shared" si="9"/>
        <v>758</v>
      </c>
      <c r="G255" s="67" cm="1">
        <f t="array" ref="G255">INDEX($B$5:$B$1012, F255)</f>
        <v>41638</v>
      </c>
      <c r="H255" s="69" cm="1">
        <f t="array" ref="H255">INDEX($C$5:$C$1012, F255)</f>
        <v>37.29</v>
      </c>
      <c r="I255" s="70" cm="1">
        <f t="array" ref="I255">INDEX($D$5:$D$1012, F255)</f>
        <v>16276880</v>
      </c>
    </row>
    <row r="256" spans="2:9" x14ac:dyDescent="0.2">
      <c r="B256" s="62">
        <v>42373</v>
      </c>
      <c r="C256" s="72">
        <v>54.8</v>
      </c>
      <c r="D256" s="71">
        <v>53209740</v>
      </c>
      <c r="E256" s="66" t="s">
        <v>81</v>
      </c>
      <c r="F256" s="16">
        <f t="shared" si="9"/>
        <v>757</v>
      </c>
      <c r="G256" s="67" cm="1">
        <f t="array" ref="G256">INDEX($B$5:$B$1012, F256)</f>
        <v>41639</v>
      </c>
      <c r="H256" s="69" cm="1">
        <f t="array" ref="H256">INDEX($C$5:$C$1012, F256)</f>
        <v>37.409999999999997</v>
      </c>
      <c r="I256" s="70" cm="1">
        <f t="array" ref="I256">INDEX($D$5:$D$1012, F256)</f>
        <v>17503520</v>
      </c>
    </row>
    <row r="257" spans="2:9" x14ac:dyDescent="0.2">
      <c r="B257" s="62">
        <v>42369</v>
      </c>
      <c r="C257" s="72">
        <v>55.48</v>
      </c>
      <c r="D257" s="71">
        <v>27329930</v>
      </c>
      <c r="E257" s="66" t="s">
        <v>81</v>
      </c>
      <c r="F257" s="16">
        <f t="shared" si="9"/>
        <v>756</v>
      </c>
      <c r="G257" s="67" cm="1">
        <f t="array" ref="G257">INDEX($B$5:$B$1012, F257)</f>
        <v>41641</v>
      </c>
      <c r="H257" s="69" cm="1">
        <f t="array" ref="H257">INDEX($C$5:$C$1012, F257)</f>
        <v>37.159999999999997</v>
      </c>
      <c r="I257" s="70" cm="1">
        <f t="array" ref="I257">INDEX($D$5:$D$1012, F257)</f>
        <v>30632030</v>
      </c>
    </row>
    <row r="258" spans="2:9" x14ac:dyDescent="0.2">
      <c r="B258" s="62">
        <v>42368</v>
      </c>
      <c r="C258" s="72">
        <v>56.31</v>
      </c>
      <c r="D258" s="71">
        <v>21690270</v>
      </c>
      <c r="E258" s="66" t="s">
        <v>81</v>
      </c>
      <c r="F258" s="16">
        <f t="shared" si="9"/>
        <v>755</v>
      </c>
      <c r="G258" s="67" cm="1">
        <f t="array" ref="G258">INDEX($B$5:$B$1012, F258)</f>
        <v>41642</v>
      </c>
      <c r="H258" s="69" cm="1">
        <f t="array" ref="H258">INDEX($C$5:$C$1012, F258)</f>
        <v>36.909999999999997</v>
      </c>
      <c r="I258" s="70" cm="1">
        <f t="array" ref="I258">INDEX($D$5:$D$1012, F258)</f>
        <v>31134800</v>
      </c>
    </row>
    <row r="259" spans="2:9" x14ac:dyDescent="0.2">
      <c r="B259" s="62">
        <v>42367</v>
      </c>
      <c r="C259" s="72">
        <v>56.55</v>
      </c>
      <c r="D259" s="71">
        <v>27727810</v>
      </c>
      <c r="E259" s="66" t="s">
        <v>81</v>
      </c>
      <c r="F259" s="16">
        <f t="shared" si="9"/>
        <v>754</v>
      </c>
      <c r="G259" s="67" cm="1">
        <f t="array" ref="G259">INDEX($B$5:$B$1012, F259)</f>
        <v>41645</v>
      </c>
      <c r="H259" s="69" cm="1">
        <f t="array" ref="H259">INDEX($C$5:$C$1012, F259)</f>
        <v>36.130000000000003</v>
      </c>
      <c r="I259" s="70" cm="1">
        <f t="array" ref="I259">INDEX($D$5:$D$1012, F259)</f>
        <v>43602750</v>
      </c>
    </row>
    <row r="260" spans="2:9" x14ac:dyDescent="0.2">
      <c r="B260" s="62">
        <v>42366</v>
      </c>
      <c r="C260" s="72">
        <v>55.95</v>
      </c>
      <c r="D260" s="71">
        <v>21704030</v>
      </c>
      <c r="E260" s="66" t="s">
        <v>81</v>
      </c>
      <c r="F260" s="16">
        <f t="shared" si="9"/>
        <v>753</v>
      </c>
      <c r="G260" s="67" cm="1">
        <f t="array" ref="G260">INDEX($B$5:$B$1012, F260)</f>
        <v>41646</v>
      </c>
      <c r="H260" s="69" cm="1">
        <f t="array" ref="H260">INDEX($C$5:$C$1012, F260)</f>
        <v>36.409999999999997</v>
      </c>
      <c r="I260" s="70" cm="1">
        <f t="array" ref="I260">INDEX($D$5:$D$1012, F260)</f>
        <v>35661130</v>
      </c>
    </row>
    <row r="261" spans="2:9" x14ac:dyDescent="0.2">
      <c r="B261" s="62">
        <v>42362</v>
      </c>
      <c r="C261" s="72">
        <v>55.67</v>
      </c>
      <c r="D261" s="71">
        <v>9570002</v>
      </c>
      <c r="E261" s="66" t="s">
        <v>81</v>
      </c>
      <c r="F261" s="16">
        <f t="shared" si="9"/>
        <v>752</v>
      </c>
      <c r="G261" s="67" cm="1">
        <f t="array" ref="G261">INDEX($B$5:$B$1012, F261)</f>
        <v>41647</v>
      </c>
      <c r="H261" s="69" cm="1">
        <f t="array" ref="H261">INDEX($C$5:$C$1012, F261)</f>
        <v>35.76</v>
      </c>
      <c r="I261" s="70" cm="1">
        <f t="array" ref="I261">INDEX($D$5:$D$1012, F261)</f>
        <v>59951110</v>
      </c>
    </row>
    <row r="262" spans="2:9" x14ac:dyDescent="0.2">
      <c r="B262" s="62">
        <v>42361</v>
      </c>
      <c r="C262" s="72">
        <v>55.82</v>
      </c>
      <c r="D262" s="71">
        <v>27269200</v>
      </c>
      <c r="E262" s="66" t="s">
        <v>81</v>
      </c>
      <c r="F262" s="16">
        <f t="shared" ref="F262:F325" si="10">COUNT(B262:B1269)</f>
        <v>751</v>
      </c>
      <c r="G262" s="67" cm="1">
        <f t="array" ref="G262">INDEX($B$5:$B$1012, F262)</f>
        <v>41648</v>
      </c>
      <c r="H262" s="69" cm="1">
        <f t="array" ref="H262">INDEX($C$5:$C$1012, F262)</f>
        <v>35.53</v>
      </c>
      <c r="I262" s="70" cm="1">
        <f t="array" ref="I262">INDEX($D$5:$D$1012, F262)</f>
        <v>36516280</v>
      </c>
    </row>
    <row r="263" spans="2:9" x14ac:dyDescent="0.2">
      <c r="B263" s="62">
        <v>42360</v>
      </c>
      <c r="C263" s="72">
        <v>55.35</v>
      </c>
      <c r="D263" s="71">
        <v>28305310</v>
      </c>
      <c r="E263" s="66" t="s">
        <v>81</v>
      </c>
      <c r="F263" s="16">
        <f t="shared" si="10"/>
        <v>750</v>
      </c>
      <c r="G263" s="67" cm="1">
        <f t="array" ref="G263">INDEX($B$5:$B$1012, F263)</f>
        <v>41649</v>
      </c>
      <c r="H263" s="69" cm="1">
        <f t="array" ref="H263">INDEX($C$5:$C$1012, F263)</f>
        <v>36.04</v>
      </c>
      <c r="I263" s="70" cm="1">
        <f t="array" ref="I263">INDEX($D$5:$D$1012, F263)</f>
        <v>40548810</v>
      </c>
    </row>
    <row r="264" spans="2:9" x14ac:dyDescent="0.2">
      <c r="B264" s="62">
        <v>42359</v>
      </c>
      <c r="C264" s="72">
        <v>54.83</v>
      </c>
      <c r="D264" s="71">
        <v>37221910</v>
      </c>
      <c r="E264" s="66" t="s">
        <v>81</v>
      </c>
      <c r="F264" s="16">
        <f t="shared" si="10"/>
        <v>749</v>
      </c>
      <c r="G264" s="67" cm="1">
        <f t="array" ref="G264">INDEX($B$5:$B$1012, F264)</f>
        <v>41652</v>
      </c>
      <c r="H264" s="69" cm="1">
        <f t="array" ref="H264">INDEX($C$5:$C$1012, F264)</f>
        <v>34.979999999999997</v>
      </c>
      <c r="I264" s="70" cm="1">
        <f t="array" ref="I264">INDEX($D$5:$D$1012, F264)</f>
        <v>45901890</v>
      </c>
    </row>
    <row r="265" spans="2:9" x14ac:dyDescent="0.2">
      <c r="B265" s="62">
        <v>42356</v>
      </c>
      <c r="C265" s="72">
        <v>54.13</v>
      </c>
      <c r="D265" s="71">
        <v>84141520</v>
      </c>
      <c r="E265" s="66" t="s">
        <v>81</v>
      </c>
      <c r="F265" s="16">
        <f t="shared" si="10"/>
        <v>748</v>
      </c>
      <c r="G265" s="67" cm="1">
        <f t="array" ref="G265">INDEX($B$5:$B$1012, F265)</f>
        <v>41653</v>
      </c>
      <c r="H265" s="69" cm="1">
        <f t="array" ref="H265">INDEX($C$5:$C$1012, F265)</f>
        <v>35.78</v>
      </c>
      <c r="I265" s="70" cm="1">
        <f t="array" ref="I265">INDEX($D$5:$D$1012, F265)</f>
        <v>41613260</v>
      </c>
    </row>
    <row r="266" spans="2:9" x14ac:dyDescent="0.2">
      <c r="B266" s="62">
        <v>42355</v>
      </c>
      <c r="C266" s="72">
        <v>55.7</v>
      </c>
      <c r="D266" s="71">
        <v>41244620</v>
      </c>
      <c r="E266" s="66" t="s">
        <v>81</v>
      </c>
      <c r="F266" s="16">
        <f t="shared" si="10"/>
        <v>747</v>
      </c>
      <c r="G266" s="67" cm="1">
        <f t="array" ref="G266">INDEX($B$5:$B$1012, F266)</f>
        <v>41654</v>
      </c>
      <c r="H266" s="69" cm="1">
        <f t="array" ref="H266">INDEX($C$5:$C$1012, F266)</f>
        <v>36.76</v>
      </c>
      <c r="I266" s="70" cm="1">
        <f t="array" ref="I266">INDEX($D$5:$D$1012, F266)</f>
        <v>44800170</v>
      </c>
    </row>
    <row r="267" spans="2:9" x14ac:dyDescent="0.2">
      <c r="B267" s="62">
        <v>42354</v>
      </c>
      <c r="C267" s="72">
        <v>56.13</v>
      </c>
      <c r="D267" s="71">
        <v>37473420</v>
      </c>
      <c r="E267" s="66" t="s">
        <v>81</v>
      </c>
      <c r="F267" s="16">
        <f t="shared" si="10"/>
        <v>746</v>
      </c>
      <c r="G267" s="67" cm="1">
        <f t="array" ref="G267">INDEX($B$5:$B$1012, F267)</f>
        <v>41655</v>
      </c>
      <c r="H267" s="69" cm="1">
        <f t="array" ref="H267">INDEX($C$5:$C$1012, F267)</f>
        <v>36.89</v>
      </c>
      <c r="I267" s="70" cm="1">
        <f t="array" ref="I267">INDEX($D$5:$D$1012, F267)</f>
        <v>38013790</v>
      </c>
    </row>
    <row r="268" spans="2:9" x14ac:dyDescent="0.2">
      <c r="B268" s="62">
        <v>42353</v>
      </c>
      <c r="C268" s="72">
        <v>55.2</v>
      </c>
      <c r="D268" s="71">
        <v>39678290</v>
      </c>
      <c r="E268" s="66" t="s">
        <v>81</v>
      </c>
      <c r="F268" s="16">
        <f t="shared" si="10"/>
        <v>745</v>
      </c>
      <c r="G268" s="67" cm="1">
        <f t="array" ref="G268">INDEX($B$5:$B$1012, F268)</f>
        <v>41656</v>
      </c>
      <c r="H268" s="69" cm="1">
        <f t="array" ref="H268">INDEX($C$5:$C$1012, F268)</f>
        <v>36.380000000000003</v>
      </c>
      <c r="I268" s="70" cm="1">
        <f t="array" ref="I268">INDEX($D$5:$D$1012, F268)</f>
        <v>46267460</v>
      </c>
    </row>
    <row r="269" spans="2:9" x14ac:dyDescent="0.2">
      <c r="B269" s="62">
        <v>42352</v>
      </c>
      <c r="C269" s="72">
        <v>55.14</v>
      </c>
      <c r="D269" s="71">
        <v>46963970</v>
      </c>
      <c r="E269" s="66" t="s">
        <v>81</v>
      </c>
      <c r="F269" s="16">
        <f t="shared" si="10"/>
        <v>744</v>
      </c>
      <c r="G269" s="67" cm="1">
        <f t="array" ref="G269">INDEX($B$5:$B$1012, F269)</f>
        <v>41660</v>
      </c>
      <c r="H269" s="69" cm="1">
        <f t="array" ref="H269">INDEX($C$5:$C$1012, F269)</f>
        <v>36.17</v>
      </c>
      <c r="I269" s="70" cm="1">
        <f t="array" ref="I269">INDEX($D$5:$D$1012, F269)</f>
        <v>31565080</v>
      </c>
    </row>
    <row r="270" spans="2:9" x14ac:dyDescent="0.2">
      <c r="B270" s="62">
        <v>42349</v>
      </c>
      <c r="C270" s="72">
        <v>54.06</v>
      </c>
      <c r="D270" s="71">
        <v>39535140</v>
      </c>
      <c r="E270" s="66" t="s">
        <v>81</v>
      </c>
      <c r="F270" s="16">
        <f t="shared" si="10"/>
        <v>743</v>
      </c>
      <c r="G270" s="67" cm="1">
        <f t="array" ref="G270">INDEX($B$5:$B$1012, F270)</f>
        <v>41661</v>
      </c>
      <c r="H270" s="69" cm="1">
        <f t="array" ref="H270">INDEX($C$5:$C$1012, F270)</f>
        <v>35.93</v>
      </c>
      <c r="I270" s="70" cm="1">
        <f t="array" ref="I270">INDEX($D$5:$D$1012, F270)</f>
        <v>21904030</v>
      </c>
    </row>
    <row r="271" spans="2:9" x14ac:dyDescent="0.2">
      <c r="B271" s="62">
        <v>42348</v>
      </c>
      <c r="C271" s="72">
        <v>55.27</v>
      </c>
      <c r="D271" s="71">
        <v>31771820</v>
      </c>
      <c r="E271" s="66" t="s">
        <v>81</v>
      </c>
      <c r="F271" s="16">
        <f t="shared" si="10"/>
        <v>742</v>
      </c>
      <c r="G271" s="67" cm="1">
        <f t="array" ref="G271">INDEX($B$5:$B$1012, F271)</f>
        <v>41662</v>
      </c>
      <c r="H271" s="69" cm="1">
        <f t="array" ref="H271">INDEX($C$5:$C$1012, F271)</f>
        <v>36.055</v>
      </c>
      <c r="I271" s="70" cm="1">
        <f t="array" ref="I271">INDEX($D$5:$D$1012, F271)</f>
        <v>43859820</v>
      </c>
    </row>
    <row r="272" spans="2:9" x14ac:dyDescent="0.2">
      <c r="B272" s="62">
        <v>42347</v>
      </c>
      <c r="C272" s="72">
        <v>54.98</v>
      </c>
      <c r="D272" s="71">
        <v>36359780</v>
      </c>
      <c r="E272" s="66" t="s">
        <v>81</v>
      </c>
      <c r="F272" s="16">
        <f t="shared" si="10"/>
        <v>741</v>
      </c>
      <c r="G272" s="67" cm="1">
        <f t="array" ref="G272">INDEX($B$5:$B$1012, F272)</f>
        <v>41663</v>
      </c>
      <c r="H272" s="69" cm="1">
        <f t="array" ref="H272">INDEX($C$5:$C$1012, F272)</f>
        <v>36.805</v>
      </c>
      <c r="I272" s="70" cm="1">
        <f t="array" ref="I272">INDEX($D$5:$D$1012, F272)</f>
        <v>77038730</v>
      </c>
    </row>
    <row r="273" spans="2:9" x14ac:dyDescent="0.2">
      <c r="B273" s="62">
        <v>42346</v>
      </c>
      <c r="C273" s="72">
        <v>55.79</v>
      </c>
      <c r="D273" s="71">
        <v>32752860</v>
      </c>
      <c r="E273" s="66" t="s">
        <v>81</v>
      </c>
      <c r="F273" s="16">
        <f t="shared" si="10"/>
        <v>740</v>
      </c>
      <c r="G273" s="67" cm="1">
        <f t="array" ref="G273">INDEX($B$5:$B$1012, F273)</f>
        <v>41666</v>
      </c>
      <c r="H273" s="69" cm="1">
        <f t="array" ref="H273">INDEX($C$5:$C$1012, F273)</f>
        <v>36.03</v>
      </c>
      <c r="I273" s="70" cm="1">
        <f t="array" ref="I273">INDEX($D$5:$D$1012, F273)</f>
        <v>44414390</v>
      </c>
    </row>
    <row r="274" spans="2:9" x14ac:dyDescent="0.2">
      <c r="B274" s="62">
        <v>42345</v>
      </c>
      <c r="C274" s="72">
        <v>55.81</v>
      </c>
      <c r="D274" s="71">
        <v>30704980</v>
      </c>
      <c r="E274" s="66" t="s">
        <v>81</v>
      </c>
      <c r="F274" s="16">
        <f t="shared" si="10"/>
        <v>739</v>
      </c>
      <c r="G274" s="67" cm="1">
        <f t="array" ref="G274">INDEX($B$5:$B$1012, F274)</f>
        <v>41667</v>
      </c>
      <c r="H274" s="69" cm="1">
        <f t="array" ref="H274">INDEX($C$5:$C$1012, F274)</f>
        <v>36.270000000000003</v>
      </c>
      <c r="I274" s="70" cm="1">
        <f t="array" ref="I274">INDEX($D$5:$D$1012, F274)</f>
        <v>36199740</v>
      </c>
    </row>
    <row r="275" spans="2:9" x14ac:dyDescent="0.2">
      <c r="B275" s="62">
        <v>42342</v>
      </c>
      <c r="C275" s="72">
        <v>55.91</v>
      </c>
      <c r="D275" s="71">
        <v>43954660</v>
      </c>
      <c r="E275" s="66" t="s">
        <v>81</v>
      </c>
      <c r="F275" s="16">
        <f t="shared" si="10"/>
        <v>738</v>
      </c>
      <c r="G275" s="67" cm="1">
        <f t="array" ref="G275">INDEX($B$5:$B$1012, F275)</f>
        <v>41668</v>
      </c>
      <c r="H275" s="69" cm="1">
        <f t="array" ref="H275">INDEX($C$5:$C$1012, F275)</f>
        <v>36.659999999999997</v>
      </c>
      <c r="I275" s="70" cm="1">
        <f t="array" ref="I275">INDEX($D$5:$D$1012, F275)</f>
        <v>52745900</v>
      </c>
    </row>
    <row r="276" spans="2:9" x14ac:dyDescent="0.2">
      <c r="B276" s="62">
        <v>42341</v>
      </c>
      <c r="C276" s="72">
        <v>54.2</v>
      </c>
      <c r="D276" s="71">
        <v>38625370</v>
      </c>
      <c r="E276" s="66" t="s">
        <v>81</v>
      </c>
      <c r="F276" s="16">
        <f t="shared" si="10"/>
        <v>737</v>
      </c>
      <c r="G276" s="67" cm="1">
        <f t="array" ref="G276">INDEX($B$5:$B$1012, F276)</f>
        <v>41669</v>
      </c>
      <c r="H276" s="69" cm="1">
        <f t="array" ref="H276">INDEX($C$5:$C$1012, F276)</f>
        <v>36.86</v>
      </c>
      <c r="I276" s="70" cm="1">
        <f t="array" ref="I276">INDEX($D$5:$D$1012, F276)</f>
        <v>34935080</v>
      </c>
    </row>
    <row r="277" spans="2:9" x14ac:dyDescent="0.2">
      <c r="B277" s="62">
        <v>42340</v>
      </c>
      <c r="C277" s="72">
        <v>55.21</v>
      </c>
      <c r="D277" s="71">
        <v>47249030</v>
      </c>
      <c r="E277" s="66" t="s">
        <v>81</v>
      </c>
      <c r="F277" s="16">
        <f t="shared" si="10"/>
        <v>736</v>
      </c>
      <c r="G277" s="67" cm="1">
        <f t="array" ref="G277">INDEX($B$5:$B$1012, F277)</f>
        <v>41670</v>
      </c>
      <c r="H277" s="69" cm="1">
        <f t="array" ref="H277">INDEX($C$5:$C$1012, F277)</f>
        <v>37.840000000000003</v>
      </c>
      <c r="I277" s="70" cm="1">
        <f t="array" ref="I277">INDEX($D$5:$D$1012, F277)</f>
        <v>93158190</v>
      </c>
    </row>
    <row r="278" spans="2:9" x14ac:dyDescent="0.2">
      <c r="B278" s="62">
        <v>42339</v>
      </c>
      <c r="C278" s="72">
        <v>55.22</v>
      </c>
      <c r="D278" s="71">
        <v>39912320</v>
      </c>
      <c r="E278" s="66" t="s">
        <v>81</v>
      </c>
      <c r="F278" s="16">
        <f t="shared" si="10"/>
        <v>735</v>
      </c>
      <c r="G278" s="67" cm="1">
        <f t="array" ref="G278">INDEX($B$5:$B$1012, F278)</f>
        <v>41673</v>
      </c>
      <c r="H278" s="69" cm="1">
        <f t="array" ref="H278">INDEX($C$5:$C$1012, F278)</f>
        <v>36.479999999999997</v>
      </c>
      <c r="I278" s="70" cm="1">
        <f t="array" ref="I278">INDEX($D$5:$D$1012, F278)</f>
        <v>64062570</v>
      </c>
    </row>
    <row r="279" spans="2:9" x14ac:dyDescent="0.2">
      <c r="B279" s="62">
        <v>42338</v>
      </c>
      <c r="C279" s="72">
        <v>54.35</v>
      </c>
      <c r="D279" s="71">
        <v>54403560</v>
      </c>
      <c r="E279" s="66" t="s">
        <v>81</v>
      </c>
      <c r="F279" s="16">
        <f t="shared" si="10"/>
        <v>734</v>
      </c>
      <c r="G279" s="67" cm="1">
        <f t="array" ref="G279">INDEX($B$5:$B$1012, F279)</f>
        <v>41674</v>
      </c>
      <c r="H279" s="69" cm="1">
        <f t="array" ref="H279">INDEX($C$5:$C$1012, F279)</f>
        <v>36.35</v>
      </c>
      <c r="I279" s="70" cm="1">
        <f t="array" ref="I279">INDEX($D$5:$D$1012, F279)</f>
        <v>54696680</v>
      </c>
    </row>
    <row r="280" spans="2:9" x14ac:dyDescent="0.2">
      <c r="B280" s="62">
        <v>42335</v>
      </c>
      <c r="C280" s="72">
        <v>53.93</v>
      </c>
      <c r="D280" s="71">
        <v>9009132</v>
      </c>
      <c r="E280" s="66" t="s">
        <v>81</v>
      </c>
      <c r="F280" s="16">
        <f t="shared" si="10"/>
        <v>733</v>
      </c>
      <c r="G280" s="67" cm="1">
        <f t="array" ref="G280">INDEX($B$5:$B$1012, F280)</f>
        <v>41675</v>
      </c>
      <c r="H280" s="69" cm="1">
        <f t="array" ref="H280">INDEX($C$5:$C$1012, F280)</f>
        <v>35.82</v>
      </c>
      <c r="I280" s="70" cm="1">
        <f t="array" ref="I280">INDEX($D$5:$D$1012, F280)</f>
        <v>55813500</v>
      </c>
    </row>
    <row r="281" spans="2:9" x14ac:dyDescent="0.2">
      <c r="B281" s="62">
        <v>42333</v>
      </c>
      <c r="C281" s="72">
        <v>53.69</v>
      </c>
      <c r="D281" s="71">
        <v>20987820</v>
      </c>
      <c r="E281" s="66" t="s">
        <v>81</v>
      </c>
      <c r="F281" s="16">
        <f t="shared" si="10"/>
        <v>732</v>
      </c>
      <c r="G281" s="67" cm="1">
        <f t="array" ref="G281">INDEX($B$5:$B$1012, F281)</f>
        <v>41676</v>
      </c>
      <c r="H281" s="69" cm="1">
        <f t="array" ref="H281">INDEX($C$5:$C$1012, F281)</f>
        <v>36.18</v>
      </c>
      <c r="I281" s="70" cm="1">
        <f t="array" ref="I281">INDEX($D$5:$D$1012, F281)</f>
        <v>35356200</v>
      </c>
    </row>
    <row r="282" spans="2:9" x14ac:dyDescent="0.2">
      <c r="B282" s="62">
        <v>42332</v>
      </c>
      <c r="C282" s="72">
        <v>54.25</v>
      </c>
      <c r="D282" s="71">
        <v>24589530</v>
      </c>
      <c r="E282" s="66" t="s">
        <v>81</v>
      </c>
      <c r="F282" s="16">
        <f t="shared" si="10"/>
        <v>731</v>
      </c>
      <c r="G282" s="67" cm="1">
        <f t="array" ref="G282">INDEX($B$5:$B$1012, F282)</f>
        <v>41677</v>
      </c>
      <c r="H282" s="69" cm="1">
        <f t="array" ref="H282">INDEX($C$5:$C$1012, F282)</f>
        <v>36.56</v>
      </c>
      <c r="I282" s="70" cm="1">
        <f t="array" ref="I282">INDEX($D$5:$D$1012, F282)</f>
        <v>33307930</v>
      </c>
    </row>
    <row r="283" spans="2:9" x14ac:dyDescent="0.2">
      <c r="B283" s="62">
        <v>42331</v>
      </c>
      <c r="C283" s="72">
        <v>54.19</v>
      </c>
      <c r="D283" s="71">
        <v>28218110</v>
      </c>
      <c r="E283" s="66" t="s">
        <v>81</v>
      </c>
      <c r="F283" s="16">
        <f t="shared" si="10"/>
        <v>730</v>
      </c>
      <c r="G283" s="67" cm="1">
        <f t="array" ref="G283">INDEX($B$5:$B$1012, F283)</f>
        <v>41680</v>
      </c>
      <c r="H283" s="69" cm="1">
        <f t="array" ref="H283">INDEX($C$5:$C$1012, F283)</f>
        <v>36.799999999999997</v>
      </c>
      <c r="I283" s="70" cm="1">
        <f t="array" ref="I283">INDEX($D$5:$D$1012, F283)</f>
        <v>26735870</v>
      </c>
    </row>
    <row r="284" spans="2:9" x14ac:dyDescent="0.2">
      <c r="B284" s="62">
        <v>42328</v>
      </c>
      <c r="C284" s="72">
        <v>54.19</v>
      </c>
      <c r="D284" s="71">
        <v>37106670</v>
      </c>
      <c r="E284" s="66" t="s">
        <v>81</v>
      </c>
      <c r="F284" s="16">
        <f t="shared" si="10"/>
        <v>729</v>
      </c>
      <c r="G284" s="67" cm="1">
        <f t="array" ref="G284">INDEX($B$5:$B$1012, F284)</f>
        <v>41681</v>
      </c>
      <c r="H284" s="69" cm="1">
        <f t="array" ref="H284">INDEX($C$5:$C$1012, F284)</f>
        <v>37.174999999999997</v>
      </c>
      <c r="I284" s="70" cm="1">
        <f t="array" ref="I284">INDEX($D$5:$D$1012, F284)</f>
        <v>32133250</v>
      </c>
    </row>
    <row r="285" spans="2:9" x14ac:dyDescent="0.2">
      <c r="B285" s="62">
        <v>42327</v>
      </c>
      <c r="C285" s="72">
        <v>53.94</v>
      </c>
      <c r="D285" s="71">
        <v>28141820</v>
      </c>
      <c r="E285" s="66" t="s">
        <v>81</v>
      </c>
      <c r="F285" s="16">
        <f t="shared" si="10"/>
        <v>728</v>
      </c>
      <c r="G285" s="67" cm="1">
        <f t="array" ref="G285">INDEX($B$5:$B$1012, F285)</f>
        <v>41682</v>
      </c>
      <c r="H285" s="69" cm="1">
        <f t="array" ref="H285">INDEX($C$5:$C$1012, F285)</f>
        <v>37.47</v>
      </c>
      <c r="I285" s="70" cm="1">
        <f t="array" ref="I285">INDEX($D$5:$D$1012, F285)</f>
        <v>27051620</v>
      </c>
    </row>
    <row r="286" spans="2:9" x14ac:dyDescent="0.2">
      <c r="B286" s="62">
        <v>42326</v>
      </c>
      <c r="C286" s="72">
        <v>53.85</v>
      </c>
      <c r="D286" s="71">
        <v>29125950</v>
      </c>
      <c r="E286" s="66" t="s">
        <v>81</v>
      </c>
      <c r="F286" s="16">
        <f t="shared" si="10"/>
        <v>727</v>
      </c>
      <c r="G286" s="67" cm="1">
        <f t="array" ref="G286">INDEX($B$5:$B$1012, F286)</f>
        <v>41683</v>
      </c>
      <c r="H286" s="69" cm="1">
        <f t="array" ref="H286">INDEX($C$5:$C$1012, F286)</f>
        <v>37.61</v>
      </c>
      <c r="I286" s="70" cm="1">
        <f t="array" ref="I286">INDEX($D$5:$D$1012, F286)</f>
        <v>37635520</v>
      </c>
    </row>
    <row r="287" spans="2:9" x14ac:dyDescent="0.2">
      <c r="B287" s="62">
        <v>42325</v>
      </c>
      <c r="C287" s="72">
        <v>52.97</v>
      </c>
      <c r="D287" s="71">
        <v>31546750</v>
      </c>
      <c r="E287" s="66" t="s">
        <v>81</v>
      </c>
      <c r="F287" s="16">
        <f t="shared" si="10"/>
        <v>726</v>
      </c>
      <c r="G287" s="67" cm="1">
        <f t="array" ref="G287">INDEX($B$5:$B$1012, F287)</f>
        <v>41684</v>
      </c>
      <c r="H287" s="69" cm="1">
        <f t="array" ref="H287">INDEX($C$5:$C$1012, F287)</f>
        <v>37.619999999999997</v>
      </c>
      <c r="I287" s="70" cm="1">
        <f t="array" ref="I287">INDEX($D$5:$D$1012, F287)</f>
        <v>42985490</v>
      </c>
    </row>
    <row r="288" spans="2:9" x14ac:dyDescent="0.2">
      <c r="B288" s="62">
        <v>42324</v>
      </c>
      <c r="C288" s="72">
        <v>53.765000000000001</v>
      </c>
      <c r="D288" s="71">
        <v>31944340</v>
      </c>
      <c r="E288" s="66" t="s">
        <v>81</v>
      </c>
      <c r="F288" s="16">
        <f t="shared" si="10"/>
        <v>725</v>
      </c>
      <c r="G288" s="67" cm="1">
        <f t="array" ref="G288">INDEX($B$5:$B$1012, F288)</f>
        <v>41688</v>
      </c>
      <c r="H288" s="69" cm="1">
        <f t="array" ref="H288">INDEX($C$5:$C$1012, F288)</f>
        <v>37.42</v>
      </c>
      <c r="I288" s="70" cm="1">
        <f t="array" ref="I288">INDEX($D$5:$D$1012, F288)</f>
        <v>32833250</v>
      </c>
    </row>
    <row r="289" spans="2:9" x14ac:dyDescent="0.2">
      <c r="B289" s="62">
        <v>42321</v>
      </c>
      <c r="C289" s="72">
        <v>52.84</v>
      </c>
      <c r="D289" s="71">
        <v>36796370</v>
      </c>
      <c r="E289" s="66" t="s">
        <v>81</v>
      </c>
      <c r="F289" s="16">
        <f t="shared" si="10"/>
        <v>724</v>
      </c>
      <c r="G289" s="67" cm="1">
        <f t="array" ref="G289">INDEX($B$5:$B$1012, F289)</f>
        <v>41689</v>
      </c>
      <c r="H289" s="69" cm="1">
        <f t="array" ref="H289">INDEX($C$5:$C$1012, F289)</f>
        <v>37.51</v>
      </c>
      <c r="I289" s="70" cm="1">
        <f t="array" ref="I289">INDEX($D$5:$D$1012, F289)</f>
        <v>29750390</v>
      </c>
    </row>
    <row r="290" spans="2:9" x14ac:dyDescent="0.2">
      <c r="B290" s="62">
        <v>42320</v>
      </c>
      <c r="C290" s="72">
        <v>53.32</v>
      </c>
      <c r="D290" s="71">
        <v>35304350</v>
      </c>
      <c r="E290" s="66" t="s">
        <v>81</v>
      </c>
      <c r="F290" s="16">
        <f t="shared" si="10"/>
        <v>723</v>
      </c>
      <c r="G290" s="67" cm="1">
        <f t="array" ref="G290">INDEX($B$5:$B$1012, F290)</f>
        <v>41690</v>
      </c>
      <c r="H290" s="69" cm="1">
        <f t="array" ref="H290">INDEX($C$5:$C$1012, F290)</f>
        <v>37.75</v>
      </c>
      <c r="I290" s="70" cm="1">
        <f t="array" ref="I290">INDEX($D$5:$D$1012, F290)</f>
        <v>27526100</v>
      </c>
    </row>
    <row r="291" spans="2:9" x14ac:dyDescent="0.2">
      <c r="B291" s="62">
        <v>42319</v>
      </c>
      <c r="C291" s="72">
        <v>53.65</v>
      </c>
      <c r="D291" s="71">
        <v>34010630</v>
      </c>
      <c r="E291" s="66" t="s">
        <v>81</v>
      </c>
      <c r="F291" s="16">
        <f t="shared" si="10"/>
        <v>722</v>
      </c>
      <c r="G291" s="67" cm="1">
        <f t="array" ref="G291">INDEX($B$5:$B$1012, F291)</f>
        <v>41691</v>
      </c>
      <c r="H291" s="69" cm="1">
        <f t="array" ref="H291">INDEX($C$5:$C$1012, F291)</f>
        <v>37.979999999999997</v>
      </c>
      <c r="I291" s="70" cm="1">
        <f t="array" ref="I291">INDEX($D$5:$D$1012, F291)</f>
        <v>38020420</v>
      </c>
    </row>
    <row r="292" spans="2:9" x14ac:dyDescent="0.2">
      <c r="B292" s="62">
        <v>42318</v>
      </c>
      <c r="C292" s="72">
        <v>53.51</v>
      </c>
      <c r="D292" s="71">
        <v>55268090</v>
      </c>
      <c r="E292" s="66" t="s">
        <v>81</v>
      </c>
      <c r="F292" s="16">
        <f t="shared" si="10"/>
        <v>721</v>
      </c>
      <c r="G292" s="67" cm="1">
        <f t="array" ref="G292">INDEX($B$5:$B$1012, F292)</f>
        <v>41694</v>
      </c>
      <c r="H292" s="69" cm="1">
        <f t="array" ref="H292">INDEX($C$5:$C$1012, F292)</f>
        <v>37.69</v>
      </c>
      <c r="I292" s="70" cm="1">
        <f t="array" ref="I292">INDEX($D$5:$D$1012, F292)</f>
        <v>31949300</v>
      </c>
    </row>
    <row r="293" spans="2:9" x14ac:dyDescent="0.2">
      <c r="B293" s="62">
        <v>42317</v>
      </c>
      <c r="C293" s="72">
        <v>54.16</v>
      </c>
      <c r="D293" s="71">
        <v>32498870</v>
      </c>
      <c r="E293" s="66" t="s">
        <v>81</v>
      </c>
      <c r="F293" s="16">
        <f t="shared" si="10"/>
        <v>720</v>
      </c>
      <c r="G293" s="67" cm="1">
        <f t="array" ref="G293">INDEX($B$5:$B$1012, F293)</f>
        <v>41695</v>
      </c>
      <c r="H293" s="69" cm="1">
        <f t="array" ref="H293">INDEX($C$5:$C$1012, F293)</f>
        <v>37.54</v>
      </c>
      <c r="I293" s="70" cm="1">
        <f t="array" ref="I293">INDEX($D$5:$D$1012, F293)</f>
        <v>30733490</v>
      </c>
    </row>
    <row r="294" spans="2:9" x14ac:dyDescent="0.2">
      <c r="B294" s="62">
        <v>42314</v>
      </c>
      <c r="C294" s="72">
        <v>54.92</v>
      </c>
      <c r="D294" s="71">
        <v>32835100</v>
      </c>
      <c r="E294" s="66" t="s">
        <v>81</v>
      </c>
      <c r="F294" s="16">
        <f t="shared" si="10"/>
        <v>719</v>
      </c>
      <c r="G294" s="67" cm="1">
        <f t="array" ref="G294">INDEX($B$5:$B$1012, F294)</f>
        <v>41696</v>
      </c>
      <c r="H294" s="69" cm="1">
        <f t="array" ref="H294">INDEX($C$5:$C$1012, F294)</f>
        <v>37.47</v>
      </c>
      <c r="I294" s="70" cm="1">
        <f t="array" ref="I294">INDEX($D$5:$D$1012, F294)</f>
        <v>41036630</v>
      </c>
    </row>
    <row r="295" spans="2:9" x14ac:dyDescent="0.2">
      <c r="B295" s="62">
        <v>42313</v>
      </c>
      <c r="C295" s="72">
        <v>54.38</v>
      </c>
      <c r="D295" s="71">
        <v>31466080</v>
      </c>
      <c r="E295" s="66" t="s">
        <v>81</v>
      </c>
      <c r="F295" s="16">
        <f t="shared" si="10"/>
        <v>718</v>
      </c>
      <c r="G295" s="67" cm="1">
        <f t="array" ref="G295">INDEX($B$5:$B$1012, F295)</f>
        <v>41697</v>
      </c>
      <c r="H295" s="69" cm="1">
        <f t="array" ref="H295">INDEX($C$5:$C$1012, F295)</f>
        <v>37.86</v>
      </c>
      <c r="I295" s="70" cm="1">
        <f t="array" ref="I295">INDEX($D$5:$D$1012, F295)</f>
        <v>33898430</v>
      </c>
    </row>
    <row r="296" spans="2:9" x14ac:dyDescent="0.2">
      <c r="B296" s="62">
        <v>42312</v>
      </c>
      <c r="C296" s="72">
        <v>54.4</v>
      </c>
      <c r="D296" s="71">
        <v>37084780</v>
      </c>
      <c r="E296" s="66" t="s">
        <v>81</v>
      </c>
      <c r="F296" s="16">
        <f t="shared" si="10"/>
        <v>717</v>
      </c>
      <c r="G296" s="67" cm="1">
        <f t="array" ref="G296">INDEX($B$5:$B$1012, F296)</f>
        <v>41698</v>
      </c>
      <c r="H296" s="69" cm="1">
        <f t="array" ref="H296">INDEX($C$5:$C$1012, F296)</f>
        <v>38.31</v>
      </c>
      <c r="I296" s="70" cm="1">
        <f t="array" ref="I296">INDEX($D$5:$D$1012, F296)</f>
        <v>41213850</v>
      </c>
    </row>
    <row r="297" spans="2:9" x14ac:dyDescent="0.2">
      <c r="B297" s="62">
        <v>42311</v>
      </c>
      <c r="C297" s="72">
        <v>54.15</v>
      </c>
      <c r="D297" s="71">
        <v>36584100</v>
      </c>
      <c r="E297" s="66" t="s">
        <v>81</v>
      </c>
      <c r="F297" s="16">
        <f t="shared" si="10"/>
        <v>716</v>
      </c>
      <c r="G297" s="67" cm="1">
        <f t="array" ref="G297">INDEX($B$5:$B$1012, F297)</f>
        <v>41701</v>
      </c>
      <c r="H297" s="69" cm="1">
        <f t="array" ref="H297">INDEX($C$5:$C$1012, F297)</f>
        <v>37.78</v>
      </c>
      <c r="I297" s="70" cm="1">
        <f t="array" ref="I297">INDEX($D$5:$D$1012, F297)</f>
        <v>29716900</v>
      </c>
    </row>
    <row r="298" spans="2:9" x14ac:dyDescent="0.2">
      <c r="B298" s="62">
        <v>42310</v>
      </c>
      <c r="C298" s="72">
        <v>53.24</v>
      </c>
      <c r="D298" s="71">
        <v>30229020</v>
      </c>
      <c r="E298" s="66" t="s">
        <v>81</v>
      </c>
      <c r="F298" s="16">
        <f t="shared" si="10"/>
        <v>715</v>
      </c>
      <c r="G298" s="67" cm="1">
        <f t="array" ref="G298">INDEX($B$5:$B$1012, F298)</f>
        <v>41702</v>
      </c>
      <c r="H298" s="69" cm="1">
        <f t="array" ref="H298">INDEX($C$5:$C$1012, F298)</f>
        <v>38.409999999999997</v>
      </c>
      <c r="I298" s="70" cm="1">
        <f t="array" ref="I298">INDEX($D$5:$D$1012, F298)</f>
        <v>26802300</v>
      </c>
    </row>
    <row r="299" spans="2:9" x14ac:dyDescent="0.2">
      <c r="B299" s="62">
        <v>42307</v>
      </c>
      <c r="C299" s="72">
        <v>52.64</v>
      </c>
      <c r="D299" s="71">
        <v>46602700</v>
      </c>
      <c r="E299" s="66" t="s">
        <v>81</v>
      </c>
      <c r="F299" s="16">
        <f t="shared" si="10"/>
        <v>714</v>
      </c>
      <c r="G299" s="67" cm="1">
        <f t="array" ref="G299">INDEX($B$5:$B$1012, F299)</f>
        <v>41703</v>
      </c>
      <c r="H299" s="69" cm="1">
        <f t="array" ref="H299">INDEX($C$5:$C$1012, F299)</f>
        <v>38.11</v>
      </c>
      <c r="I299" s="70" cm="1">
        <f t="array" ref="I299">INDEX($D$5:$D$1012, F299)</f>
        <v>20519850</v>
      </c>
    </row>
    <row r="300" spans="2:9" x14ac:dyDescent="0.2">
      <c r="B300" s="62">
        <v>42306</v>
      </c>
      <c r="C300" s="72">
        <v>53.36</v>
      </c>
      <c r="D300" s="71">
        <v>30109050</v>
      </c>
      <c r="E300" s="66" t="s">
        <v>81</v>
      </c>
      <c r="F300" s="16">
        <f t="shared" si="10"/>
        <v>713</v>
      </c>
      <c r="G300" s="67" cm="1">
        <f t="array" ref="G300">INDEX($B$5:$B$1012, F300)</f>
        <v>41704</v>
      </c>
      <c r="H300" s="69" cm="1">
        <f t="array" ref="H300">INDEX($C$5:$C$1012, F300)</f>
        <v>38.15</v>
      </c>
      <c r="I300" s="70" cm="1">
        <f t="array" ref="I300">INDEX($D$5:$D$1012, F300)</f>
        <v>23582130</v>
      </c>
    </row>
    <row r="301" spans="2:9" x14ac:dyDescent="0.2">
      <c r="B301" s="62">
        <v>42305</v>
      </c>
      <c r="C301" s="72">
        <v>53.98</v>
      </c>
      <c r="D301" s="71">
        <v>46948360</v>
      </c>
      <c r="E301" s="66" t="s">
        <v>81</v>
      </c>
      <c r="F301" s="16">
        <f t="shared" si="10"/>
        <v>712</v>
      </c>
      <c r="G301" s="67" cm="1">
        <f t="array" ref="G301">INDEX($B$5:$B$1012, F301)</f>
        <v>41705</v>
      </c>
      <c r="H301" s="69" cm="1">
        <f t="array" ref="H301">INDEX($C$5:$C$1012, F301)</f>
        <v>37.9</v>
      </c>
      <c r="I301" s="70" cm="1">
        <f t="array" ref="I301">INDEX($D$5:$D$1012, F301)</f>
        <v>26590540</v>
      </c>
    </row>
    <row r="302" spans="2:9" x14ac:dyDescent="0.2">
      <c r="B302" s="62">
        <v>42304</v>
      </c>
      <c r="C302" s="72">
        <v>53.69</v>
      </c>
      <c r="D302" s="71">
        <v>50959580</v>
      </c>
      <c r="E302" s="66" t="s">
        <v>81</v>
      </c>
      <c r="F302" s="16">
        <f t="shared" si="10"/>
        <v>711</v>
      </c>
      <c r="G302" s="67" cm="1">
        <f t="array" ref="G302">INDEX($B$5:$B$1012, F302)</f>
        <v>41708</v>
      </c>
      <c r="H302" s="69" cm="1">
        <f t="array" ref="H302">INDEX($C$5:$C$1012, F302)</f>
        <v>37.82</v>
      </c>
      <c r="I302" s="70" cm="1">
        <f t="array" ref="I302">INDEX($D$5:$D$1012, F302)</f>
        <v>19006500</v>
      </c>
    </row>
    <row r="303" spans="2:9" x14ac:dyDescent="0.2">
      <c r="B303" s="62">
        <v>42303</v>
      </c>
      <c r="C303" s="72">
        <v>54.25</v>
      </c>
      <c r="D303" s="71">
        <v>64541790</v>
      </c>
      <c r="E303" s="66" t="s">
        <v>81</v>
      </c>
      <c r="F303" s="16">
        <f t="shared" si="10"/>
        <v>710</v>
      </c>
      <c r="G303" s="67" cm="1">
        <f t="array" ref="G303">INDEX($B$5:$B$1012, F303)</f>
        <v>41709</v>
      </c>
      <c r="H303" s="69" cm="1">
        <f t="array" ref="H303">INDEX($C$5:$C$1012, F303)</f>
        <v>38.020000000000003</v>
      </c>
      <c r="I303" s="70" cm="1">
        <f t="array" ref="I303">INDEX($D$5:$D$1012, F303)</f>
        <v>25216370</v>
      </c>
    </row>
    <row r="304" spans="2:9" x14ac:dyDescent="0.2">
      <c r="B304" s="62">
        <v>42300</v>
      </c>
      <c r="C304" s="72">
        <v>52.87</v>
      </c>
      <c r="D304" s="71">
        <v>135152900</v>
      </c>
      <c r="E304" s="66" t="s">
        <v>81</v>
      </c>
      <c r="F304" s="16">
        <f t="shared" si="10"/>
        <v>709</v>
      </c>
      <c r="G304" s="67" cm="1">
        <f t="array" ref="G304">INDEX($B$5:$B$1012, F304)</f>
        <v>41710</v>
      </c>
      <c r="H304" s="69" cm="1">
        <f t="array" ref="H304">INDEX($C$5:$C$1012, F304)</f>
        <v>38.270000000000003</v>
      </c>
      <c r="I304" s="70" cm="1">
        <f t="array" ref="I304">INDEX($D$5:$D$1012, F304)</f>
        <v>30494150</v>
      </c>
    </row>
    <row r="305" spans="2:9" x14ac:dyDescent="0.2">
      <c r="B305" s="62">
        <v>42299</v>
      </c>
      <c r="C305" s="72">
        <v>48.03</v>
      </c>
      <c r="D305" s="71">
        <v>55888280</v>
      </c>
      <c r="E305" s="66" t="s">
        <v>81</v>
      </c>
      <c r="F305" s="16">
        <f t="shared" si="10"/>
        <v>708</v>
      </c>
      <c r="G305" s="67" cm="1">
        <f t="array" ref="G305">INDEX($B$5:$B$1012, F305)</f>
        <v>41711</v>
      </c>
      <c r="H305" s="69" cm="1">
        <f t="array" ref="H305">INDEX($C$5:$C$1012, F305)</f>
        <v>37.89</v>
      </c>
      <c r="I305" s="70" cm="1">
        <f t="array" ref="I305">INDEX($D$5:$D$1012, F305)</f>
        <v>32167550</v>
      </c>
    </row>
    <row r="306" spans="2:9" x14ac:dyDescent="0.2">
      <c r="B306" s="62">
        <v>42298</v>
      </c>
      <c r="C306" s="72">
        <v>47.2</v>
      </c>
      <c r="D306" s="71">
        <v>25222760</v>
      </c>
      <c r="E306" s="66" t="s">
        <v>81</v>
      </c>
      <c r="F306" s="16">
        <f t="shared" si="10"/>
        <v>707</v>
      </c>
      <c r="G306" s="67" cm="1">
        <f t="array" ref="G306">INDEX($B$5:$B$1012, F306)</f>
        <v>41712</v>
      </c>
      <c r="H306" s="69" cm="1">
        <f t="array" ref="H306">INDEX($C$5:$C$1012, F306)</f>
        <v>37.700000000000003</v>
      </c>
      <c r="I306" s="70" cm="1">
        <f t="array" ref="I306">INDEX($D$5:$D$1012, F306)</f>
        <v>27184840</v>
      </c>
    </row>
    <row r="307" spans="2:9" x14ac:dyDescent="0.2">
      <c r="B307" s="62">
        <v>42297</v>
      </c>
      <c r="C307" s="72">
        <v>47.77</v>
      </c>
      <c r="D307" s="71">
        <v>30794100</v>
      </c>
      <c r="E307" s="66" t="s">
        <v>81</v>
      </c>
      <c r="F307" s="16">
        <f t="shared" si="10"/>
        <v>706</v>
      </c>
      <c r="G307" s="67" cm="1">
        <f t="array" ref="G307">INDEX($B$5:$B$1012, F307)</f>
        <v>41715</v>
      </c>
      <c r="H307" s="69" cm="1">
        <f t="array" ref="H307">INDEX($C$5:$C$1012, F307)</f>
        <v>38.049999999999997</v>
      </c>
      <c r="I307" s="70" cm="1">
        <f t="array" ref="I307">INDEX($D$5:$D$1012, F307)</f>
        <v>20386500</v>
      </c>
    </row>
    <row r="308" spans="2:9" x14ac:dyDescent="0.2">
      <c r="B308" s="62">
        <v>42296</v>
      </c>
      <c r="C308" s="72">
        <v>47.62</v>
      </c>
      <c r="D308" s="71">
        <v>29357660</v>
      </c>
      <c r="E308" s="66" t="s">
        <v>81</v>
      </c>
      <c r="F308" s="16">
        <f t="shared" si="10"/>
        <v>705</v>
      </c>
      <c r="G308" s="67" cm="1">
        <f t="array" ref="G308">INDEX($B$5:$B$1012, F308)</f>
        <v>41716</v>
      </c>
      <c r="H308" s="69" cm="1">
        <f t="array" ref="H308">INDEX($C$5:$C$1012, F308)</f>
        <v>39.549999999999997</v>
      </c>
      <c r="I308" s="70" cm="1">
        <f t="array" ref="I308">INDEX($D$5:$D$1012, F308)</f>
        <v>63965060</v>
      </c>
    </row>
    <row r="309" spans="2:9" x14ac:dyDescent="0.2">
      <c r="B309" s="62">
        <v>42293</v>
      </c>
      <c r="C309" s="72">
        <v>47.51</v>
      </c>
      <c r="D309" s="71">
        <v>25845550</v>
      </c>
      <c r="E309" s="66" t="s">
        <v>81</v>
      </c>
      <c r="F309" s="16">
        <f t="shared" si="10"/>
        <v>704</v>
      </c>
      <c r="G309" s="67" cm="1">
        <f t="array" ref="G309">INDEX($B$5:$B$1012, F309)</f>
        <v>41717</v>
      </c>
      <c r="H309" s="69" cm="1">
        <f t="array" ref="H309">INDEX($C$5:$C$1012, F309)</f>
        <v>39.270000000000003</v>
      </c>
      <c r="I309" s="70" cm="1">
        <f t="array" ref="I309">INDEX($D$5:$D$1012, F309)</f>
        <v>35140580</v>
      </c>
    </row>
    <row r="310" spans="2:9" x14ac:dyDescent="0.2">
      <c r="B310" s="62">
        <v>42292</v>
      </c>
      <c r="C310" s="72">
        <v>47.01</v>
      </c>
      <c r="D310" s="71">
        <v>27155510</v>
      </c>
      <c r="E310" s="66" t="s">
        <v>81</v>
      </c>
      <c r="F310" s="16">
        <f t="shared" si="10"/>
        <v>703</v>
      </c>
      <c r="G310" s="67" cm="1">
        <f t="array" ref="G310">INDEX($B$5:$B$1012, F310)</f>
        <v>41718</v>
      </c>
      <c r="H310" s="69" cm="1">
        <f t="array" ref="H310">INDEX($C$5:$C$1012, F310)</f>
        <v>40.33</v>
      </c>
      <c r="I310" s="70" cm="1">
        <f t="array" ref="I310">INDEX($D$5:$D$1012, F310)</f>
        <v>59240160</v>
      </c>
    </row>
    <row r="311" spans="2:9" x14ac:dyDescent="0.2">
      <c r="B311" s="62">
        <v>42291</v>
      </c>
      <c r="C311" s="72">
        <v>46.68</v>
      </c>
      <c r="D311" s="71">
        <v>24693460</v>
      </c>
      <c r="E311" s="66" t="s">
        <v>81</v>
      </c>
      <c r="F311" s="16">
        <f t="shared" si="10"/>
        <v>702</v>
      </c>
      <c r="G311" s="67" cm="1">
        <f t="array" ref="G311">INDEX($B$5:$B$1012, F311)</f>
        <v>41719</v>
      </c>
      <c r="H311" s="69" cm="1">
        <f t="array" ref="H311">INDEX($C$5:$C$1012, F311)</f>
        <v>40.159999999999997</v>
      </c>
      <c r="I311" s="70" cm="1">
        <f t="array" ref="I311">INDEX($D$5:$D$1012, F311)</f>
        <v>80709490</v>
      </c>
    </row>
    <row r="312" spans="2:9" x14ac:dyDescent="0.2">
      <c r="B312" s="62">
        <v>42290</v>
      </c>
      <c r="C312" s="72">
        <v>46.89</v>
      </c>
      <c r="D312" s="71">
        <v>19985330</v>
      </c>
      <c r="E312" s="66" t="s">
        <v>81</v>
      </c>
      <c r="F312" s="16">
        <f t="shared" si="10"/>
        <v>701</v>
      </c>
      <c r="G312" s="67" cm="1">
        <f t="array" ref="G312">INDEX($B$5:$B$1012, F312)</f>
        <v>41722</v>
      </c>
      <c r="H312" s="69" cm="1">
        <f t="array" ref="H312">INDEX($C$5:$C$1012, F312)</f>
        <v>40.5</v>
      </c>
      <c r="I312" s="70" cm="1">
        <f t="array" ref="I312">INDEX($D$5:$D$1012, F312)</f>
        <v>46072130</v>
      </c>
    </row>
    <row r="313" spans="2:9" x14ac:dyDescent="0.2">
      <c r="B313" s="62">
        <v>42289</v>
      </c>
      <c r="C313" s="72">
        <v>47</v>
      </c>
      <c r="D313" s="71">
        <v>19756420</v>
      </c>
      <c r="E313" s="66" t="s">
        <v>81</v>
      </c>
      <c r="F313" s="16">
        <f t="shared" si="10"/>
        <v>700</v>
      </c>
      <c r="G313" s="67" cm="1">
        <f t="array" ref="G313">INDEX($B$5:$B$1012, F313)</f>
        <v>41723</v>
      </c>
      <c r="H313" s="69" cm="1">
        <f t="array" ref="H313">INDEX($C$5:$C$1012, F313)</f>
        <v>40.340000000000003</v>
      </c>
      <c r="I313" s="70" cm="1">
        <f t="array" ref="I313">INDEX($D$5:$D$1012, F313)</f>
        <v>43132190</v>
      </c>
    </row>
    <row r="314" spans="2:9" x14ac:dyDescent="0.2">
      <c r="B314" s="62">
        <v>42286</v>
      </c>
      <c r="C314" s="72">
        <v>47.11</v>
      </c>
      <c r="D314" s="71">
        <v>28581690</v>
      </c>
      <c r="E314" s="66" t="s">
        <v>81</v>
      </c>
      <c r="F314" s="16">
        <f t="shared" si="10"/>
        <v>699</v>
      </c>
      <c r="G314" s="67" cm="1">
        <f t="array" ref="G314">INDEX($B$5:$B$1012, F314)</f>
        <v>41724</v>
      </c>
      <c r="H314" s="69" cm="1">
        <f t="array" ref="H314">INDEX($C$5:$C$1012, F314)</f>
        <v>39.79</v>
      </c>
      <c r="I314" s="70" cm="1">
        <f t="array" ref="I314">INDEX($D$5:$D$1012, F314)</f>
        <v>41854930</v>
      </c>
    </row>
    <row r="315" spans="2:9" x14ac:dyDescent="0.2">
      <c r="B315" s="62">
        <v>42285</v>
      </c>
      <c r="C315" s="72">
        <v>47.45</v>
      </c>
      <c r="D315" s="71">
        <v>33733860</v>
      </c>
      <c r="E315" s="66" t="s">
        <v>81</v>
      </c>
      <c r="F315" s="16">
        <f t="shared" si="10"/>
        <v>698</v>
      </c>
      <c r="G315" s="67" cm="1">
        <f t="array" ref="G315">INDEX($B$5:$B$1012, F315)</f>
        <v>41725</v>
      </c>
      <c r="H315" s="69" cm="1">
        <f t="array" ref="H315">INDEX($C$5:$C$1012, F315)</f>
        <v>39.36</v>
      </c>
      <c r="I315" s="70" cm="1">
        <f t="array" ref="I315">INDEX($D$5:$D$1012, F315)</f>
        <v>35215570</v>
      </c>
    </row>
    <row r="316" spans="2:9" x14ac:dyDescent="0.2">
      <c r="B316" s="62">
        <v>42284</v>
      </c>
      <c r="C316" s="72">
        <v>46.8</v>
      </c>
      <c r="D316" s="71">
        <v>27695610</v>
      </c>
      <c r="E316" s="66" t="s">
        <v>81</v>
      </c>
      <c r="F316" s="16">
        <f t="shared" si="10"/>
        <v>697</v>
      </c>
      <c r="G316" s="67" cm="1">
        <f t="array" ref="G316">INDEX($B$5:$B$1012, F316)</f>
        <v>41726</v>
      </c>
      <c r="H316" s="69" cm="1">
        <f t="array" ref="H316">INDEX($C$5:$C$1012, F316)</f>
        <v>40.299999999999997</v>
      </c>
      <c r="I316" s="70" cm="1">
        <f t="array" ref="I316">INDEX($D$5:$D$1012, F316)</f>
        <v>43414400</v>
      </c>
    </row>
    <row r="317" spans="2:9" x14ac:dyDescent="0.2">
      <c r="B317" s="62">
        <v>42283</v>
      </c>
      <c r="C317" s="72">
        <v>46.75</v>
      </c>
      <c r="D317" s="71">
        <v>27504360</v>
      </c>
      <c r="E317" s="66" t="s">
        <v>81</v>
      </c>
      <c r="F317" s="16">
        <f t="shared" si="10"/>
        <v>696</v>
      </c>
      <c r="G317" s="67" cm="1">
        <f t="array" ref="G317">INDEX($B$5:$B$1012, F317)</f>
        <v>41729</v>
      </c>
      <c r="H317" s="69" cm="1">
        <f t="array" ref="H317">INDEX($C$5:$C$1012, F317)</f>
        <v>40.99</v>
      </c>
      <c r="I317" s="70" cm="1">
        <f t="array" ref="I317">INDEX($D$5:$D$1012, F317)</f>
        <v>46840570</v>
      </c>
    </row>
    <row r="318" spans="2:9" x14ac:dyDescent="0.2">
      <c r="B318" s="62">
        <v>42282</v>
      </c>
      <c r="C318" s="72">
        <v>46.63</v>
      </c>
      <c r="D318" s="71">
        <v>33546080</v>
      </c>
      <c r="E318" s="66" t="s">
        <v>81</v>
      </c>
      <c r="F318" s="16">
        <f t="shared" si="10"/>
        <v>695</v>
      </c>
      <c r="G318" s="67" cm="1">
        <f t="array" ref="G318">INDEX($B$5:$B$1012, F318)</f>
        <v>41730</v>
      </c>
      <c r="H318" s="69" cm="1">
        <f t="array" ref="H318">INDEX($C$5:$C$1012, F318)</f>
        <v>41.42</v>
      </c>
      <c r="I318" s="70" cm="1">
        <f t="array" ref="I318">INDEX($D$5:$D$1012, F318)</f>
        <v>32604260</v>
      </c>
    </row>
    <row r="319" spans="2:9" x14ac:dyDescent="0.2">
      <c r="B319" s="62">
        <v>42279</v>
      </c>
      <c r="C319" s="72">
        <v>45.57</v>
      </c>
      <c r="D319" s="71">
        <v>41789610</v>
      </c>
      <c r="E319" s="66" t="s">
        <v>81</v>
      </c>
      <c r="F319" s="16">
        <f t="shared" si="10"/>
        <v>694</v>
      </c>
      <c r="G319" s="67" cm="1">
        <f t="array" ref="G319">INDEX($B$5:$B$1012, F319)</f>
        <v>41731</v>
      </c>
      <c r="H319" s="69" cm="1">
        <f t="array" ref="H319">INDEX($C$5:$C$1012, F319)</f>
        <v>41.35</v>
      </c>
      <c r="I319" s="70" cm="1">
        <f t="array" ref="I319">INDEX($D$5:$D$1012, F319)</f>
        <v>28614590</v>
      </c>
    </row>
    <row r="320" spans="2:9" x14ac:dyDescent="0.2">
      <c r="B320" s="62">
        <v>42278</v>
      </c>
      <c r="C320" s="72">
        <v>44.61</v>
      </c>
      <c r="D320" s="71">
        <v>28564790</v>
      </c>
      <c r="E320" s="66" t="s">
        <v>81</v>
      </c>
      <c r="F320" s="16">
        <f t="shared" si="10"/>
        <v>693</v>
      </c>
      <c r="G320" s="67" cm="1">
        <f t="array" ref="G320">INDEX($B$5:$B$1012, F320)</f>
        <v>41732</v>
      </c>
      <c r="H320" s="69" cm="1">
        <f t="array" ref="H320">INDEX($C$5:$C$1012, F320)</f>
        <v>41.01</v>
      </c>
      <c r="I320" s="70" cm="1">
        <f t="array" ref="I320">INDEX($D$5:$D$1012, F320)</f>
        <v>29986320</v>
      </c>
    </row>
    <row r="321" spans="2:9" x14ac:dyDescent="0.2">
      <c r="B321" s="62">
        <v>42277</v>
      </c>
      <c r="C321" s="72">
        <v>44.26</v>
      </c>
      <c r="D321" s="71">
        <v>34944070</v>
      </c>
      <c r="E321" s="66" t="s">
        <v>81</v>
      </c>
      <c r="F321" s="16">
        <f t="shared" si="10"/>
        <v>692</v>
      </c>
      <c r="G321" s="67" cm="1">
        <f t="array" ref="G321">INDEX($B$5:$B$1012, F321)</f>
        <v>41733</v>
      </c>
      <c r="H321" s="69" cm="1">
        <f t="array" ref="H321">INDEX($C$5:$C$1012, F321)</f>
        <v>39.869999999999997</v>
      </c>
      <c r="I321" s="70" cm="1">
        <f t="array" ref="I321">INDEX($D$5:$D$1012, F321)</f>
        <v>51342010</v>
      </c>
    </row>
    <row r="322" spans="2:9" x14ac:dyDescent="0.2">
      <c r="B322" s="62">
        <v>42276</v>
      </c>
      <c r="C322" s="72">
        <v>43.44</v>
      </c>
      <c r="D322" s="71">
        <v>32748610</v>
      </c>
      <c r="E322" s="66" t="s">
        <v>81</v>
      </c>
      <c r="F322" s="16">
        <f t="shared" si="10"/>
        <v>691</v>
      </c>
      <c r="G322" s="67" cm="1">
        <f t="array" ref="G322">INDEX($B$5:$B$1012, F322)</f>
        <v>41736</v>
      </c>
      <c r="H322" s="69" cm="1">
        <f t="array" ref="H322">INDEX($C$5:$C$1012, F322)</f>
        <v>39.799999999999997</v>
      </c>
      <c r="I322" s="70" cm="1">
        <f t="array" ref="I322">INDEX($D$5:$D$1012, F322)</f>
        <v>37543980</v>
      </c>
    </row>
    <row r="323" spans="2:9" x14ac:dyDescent="0.2">
      <c r="B323" s="62">
        <v>42275</v>
      </c>
      <c r="C323" s="72">
        <v>43.29</v>
      </c>
      <c r="D323" s="71">
        <v>27454240</v>
      </c>
      <c r="E323" s="66" t="s">
        <v>81</v>
      </c>
      <c r="F323" s="16">
        <f t="shared" si="10"/>
        <v>690</v>
      </c>
      <c r="G323" s="67" cm="1">
        <f t="array" ref="G323">INDEX($B$5:$B$1012, F323)</f>
        <v>41737</v>
      </c>
      <c r="H323" s="69" cm="1">
        <f t="array" ref="H323">INDEX($C$5:$C$1012, F323)</f>
        <v>39.82</v>
      </c>
      <c r="I323" s="70" cm="1">
        <f t="array" ref="I323">INDEX($D$5:$D$1012, F323)</f>
        <v>35918620</v>
      </c>
    </row>
    <row r="324" spans="2:9" x14ac:dyDescent="0.2">
      <c r="B324" s="62">
        <v>42272</v>
      </c>
      <c r="C324" s="72">
        <v>43.94</v>
      </c>
      <c r="D324" s="71">
        <v>29378050</v>
      </c>
      <c r="E324" s="66" t="s">
        <v>81</v>
      </c>
      <c r="F324" s="16">
        <f t="shared" si="10"/>
        <v>689</v>
      </c>
      <c r="G324" s="67" cm="1">
        <f t="array" ref="G324">INDEX($B$5:$B$1012, F324)</f>
        <v>41738</v>
      </c>
      <c r="H324" s="69" cm="1">
        <f t="array" ref="H324">INDEX($C$5:$C$1012, F324)</f>
        <v>40.47</v>
      </c>
      <c r="I324" s="70" cm="1">
        <f t="array" ref="I324">INDEX($D$5:$D$1012, F324)</f>
        <v>27331630</v>
      </c>
    </row>
    <row r="325" spans="2:9" x14ac:dyDescent="0.2">
      <c r="B325" s="62">
        <v>42271</v>
      </c>
      <c r="C325" s="72">
        <v>43.91</v>
      </c>
      <c r="D325" s="71">
        <v>27867010</v>
      </c>
      <c r="E325" s="66" t="s">
        <v>81</v>
      </c>
      <c r="F325" s="16">
        <f t="shared" si="10"/>
        <v>688</v>
      </c>
      <c r="G325" s="67" cm="1">
        <f t="array" ref="G325">INDEX($B$5:$B$1012, F325)</f>
        <v>41739</v>
      </c>
      <c r="H325" s="69" cm="1">
        <f t="array" ref="H325">INDEX($C$5:$C$1012, F325)</f>
        <v>39.36</v>
      </c>
      <c r="I325" s="70" cm="1">
        <f t="array" ref="I325">INDEX($D$5:$D$1012, F325)</f>
        <v>45936930</v>
      </c>
    </row>
    <row r="326" spans="2:9" x14ac:dyDescent="0.2">
      <c r="B326" s="62">
        <v>42270</v>
      </c>
      <c r="C326" s="72">
        <v>43.87</v>
      </c>
      <c r="D326" s="71">
        <v>17099600</v>
      </c>
      <c r="E326" s="66" t="s">
        <v>81</v>
      </c>
      <c r="F326" s="16">
        <f t="shared" ref="F326:F389" si="11">COUNT(B326:B1333)</f>
        <v>687</v>
      </c>
      <c r="G326" s="67" cm="1">
        <f t="array" ref="G326">INDEX($B$5:$B$1012, F326)</f>
        <v>41740</v>
      </c>
      <c r="H326" s="69" cm="1">
        <f t="array" ref="H326">INDEX($C$5:$C$1012, F326)</f>
        <v>39.209000000000003</v>
      </c>
      <c r="I326" s="70" cm="1">
        <f t="array" ref="I326">INDEX($D$5:$D$1012, F326)</f>
        <v>34329160</v>
      </c>
    </row>
    <row r="327" spans="2:9" x14ac:dyDescent="0.2">
      <c r="B327" s="62">
        <v>42269</v>
      </c>
      <c r="C327" s="72">
        <v>43.9</v>
      </c>
      <c r="D327" s="71">
        <v>28060540</v>
      </c>
      <c r="E327" s="66" t="s">
        <v>81</v>
      </c>
      <c r="F327" s="16">
        <f t="shared" si="11"/>
        <v>686</v>
      </c>
      <c r="G327" s="67" cm="1">
        <f t="array" ref="G327">INDEX($B$5:$B$1012, F327)</f>
        <v>41743</v>
      </c>
      <c r="H327" s="69" cm="1">
        <f t="array" ref="H327">INDEX($C$5:$C$1012, F327)</f>
        <v>39.18</v>
      </c>
      <c r="I327" s="70" cm="1">
        <f t="array" ref="I327">INDEX($D$5:$D$1012, F327)</f>
        <v>32005420</v>
      </c>
    </row>
    <row r="328" spans="2:9" x14ac:dyDescent="0.2">
      <c r="B328" s="62">
        <v>42268</v>
      </c>
      <c r="C328" s="72">
        <v>44.11</v>
      </c>
      <c r="D328" s="71">
        <v>26084680</v>
      </c>
      <c r="E328" s="66" t="s">
        <v>81</v>
      </c>
      <c r="F328" s="16">
        <f t="shared" si="11"/>
        <v>685</v>
      </c>
      <c r="G328" s="67" cm="1">
        <f t="array" ref="G328">INDEX($B$5:$B$1012, F328)</f>
        <v>41744</v>
      </c>
      <c r="H328" s="69" cm="1">
        <f t="array" ref="H328">INDEX($C$5:$C$1012, F328)</f>
        <v>39.75</v>
      </c>
      <c r="I328" s="70" cm="1">
        <f t="array" ref="I328">INDEX($D$5:$D$1012, F328)</f>
        <v>33966410</v>
      </c>
    </row>
    <row r="329" spans="2:9" x14ac:dyDescent="0.2">
      <c r="B329" s="62">
        <v>42265</v>
      </c>
      <c r="C329" s="72">
        <v>43.48</v>
      </c>
      <c r="D329" s="71">
        <v>63000180</v>
      </c>
      <c r="E329" s="66" t="s">
        <v>81</v>
      </c>
      <c r="F329" s="16">
        <f t="shared" si="11"/>
        <v>684</v>
      </c>
      <c r="G329" s="67" cm="1">
        <f t="array" ref="G329">INDEX($B$5:$B$1012, F329)</f>
        <v>41745</v>
      </c>
      <c r="H329" s="69" cm="1">
        <f t="array" ref="H329">INDEX($C$5:$C$1012, F329)</f>
        <v>40.4</v>
      </c>
      <c r="I329" s="70" cm="1">
        <f t="array" ref="I329">INDEX($D$5:$D$1012, F329)</f>
        <v>30282610</v>
      </c>
    </row>
    <row r="330" spans="2:9" x14ac:dyDescent="0.2">
      <c r="B330" s="62">
        <v>42264</v>
      </c>
      <c r="C330" s="72">
        <v>44.25</v>
      </c>
      <c r="D330" s="71">
        <v>29908540</v>
      </c>
      <c r="E330" s="66" t="s">
        <v>81</v>
      </c>
      <c r="F330" s="16">
        <f t="shared" si="11"/>
        <v>683</v>
      </c>
      <c r="G330" s="67" cm="1">
        <f t="array" ref="G330">INDEX($B$5:$B$1012, F330)</f>
        <v>41746</v>
      </c>
      <c r="H330" s="69" cm="1">
        <f t="array" ref="H330">INDEX($C$5:$C$1012, F330)</f>
        <v>40.01</v>
      </c>
      <c r="I330" s="70" cm="1">
        <f t="array" ref="I330">INDEX($D$5:$D$1012, F330)</f>
        <v>36688000</v>
      </c>
    </row>
    <row r="331" spans="2:9" x14ac:dyDescent="0.2">
      <c r="B331" s="62">
        <v>42263</v>
      </c>
      <c r="C331" s="72">
        <v>44.3</v>
      </c>
      <c r="D331" s="71">
        <v>23337620</v>
      </c>
      <c r="E331" s="66" t="s">
        <v>81</v>
      </c>
      <c r="F331" s="16">
        <f t="shared" si="11"/>
        <v>682</v>
      </c>
      <c r="G331" s="67" cm="1">
        <f t="array" ref="G331">INDEX($B$5:$B$1012, F331)</f>
        <v>41750</v>
      </c>
      <c r="H331" s="69" cm="1">
        <f t="array" ref="H331">INDEX($C$5:$C$1012, F331)</f>
        <v>39.94</v>
      </c>
      <c r="I331" s="70" cm="1">
        <f t="array" ref="I331">INDEX($D$5:$D$1012, F331)</f>
        <v>22200560</v>
      </c>
    </row>
    <row r="332" spans="2:9" x14ac:dyDescent="0.2">
      <c r="B332" s="62">
        <v>42262</v>
      </c>
      <c r="C332" s="72">
        <v>43.98</v>
      </c>
      <c r="D332" s="71">
        <v>28831030</v>
      </c>
      <c r="E332" s="66" t="s">
        <v>81</v>
      </c>
      <c r="F332" s="16">
        <f t="shared" si="11"/>
        <v>681</v>
      </c>
      <c r="G332" s="67" cm="1">
        <f t="array" ref="G332">INDEX($B$5:$B$1012, F332)</f>
        <v>41751</v>
      </c>
      <c r="H332" s="69" cm="1">
        <f t="array" ref="H332">INDEX($C$5:$C$1012, F332)</f>
        <v>39.99</v>
      </c>
      <c r="I332" s="70" cm="1">
        <f t="array" ref="I332">INDEX($D$5:$D$1012, F332)</f>
        <v>27052740</v>
      </c>
    </row>
    <row r="333" spans="2:9" x14ac:dyDescent="0.2">
      <c r="B333" s="62">
        <v>42261</v>
      </c>
      <c r="C333" s="72">
        <v>43.04</v>
      </c>
      <c r="D333" s="71">
        <v>23654490</v>
      </c>
      <c r="E333" s="66" t="s">
        <v>81</v>
      </c>
      <c r="F333" s="16">
        <f t="shared" si="11"/>
        <v>680</v>
      </c>
      <c r="G333" s="67" cm="1">
        <f t="array" ref="G333">INDEX($B$5:$B$1012, F333)</f>
        <v>41752</v>
      </c>
      <c r="H333" s="69" cm="1">
        <f t="array" ref="H333">INDEX($C$5:$C$1012, F333)</f>
        <v>39.69</v>
      </c>
      <c r="I333" s="70" cm="1">
        <f t="array" ref="I333">INDEX($D$5:$D$1012, F333)</f>
        <v>24556290</v>
      </c>
    </row>
    <row r="334" spans="2:9" x14ac:dyDescent="0.2">
      <c r="B334" s="62">
        <v>42258</v>
      </c>
      <c r="C334" s="72">
        <v>43.48</v>
      </c>
      <c r="D334" s="71">
        <v>26475350</v>
      </c>
      <c r="E334" s="66" t="s">
        <v>81</v>
      </c>
      <c r="F334" s="16">
        <f t="shared" si="11"/>
        <v>679</v>
      </c>
      <c r="G334" s="67" cm="1">
        <f t="array" ref="G334">INDEX($B$5:$B$1012, F334)</f>
        <v>41753</v>
      </c>
      <c r="H334" s="69" cm="1">
        <f t="array" ref="H334">INDEX($C$5:$C$1012, F334)</f>
        <v>39.86</v>
      </c>
      <c r="I334" s="70" cm="1">
        <f t="array" ref="I334">INDEX($D$5:$D$1012, F334)</f>
        <v>41840750</v>
      </c>
    </row>
    <row r="335" spans="2:9" x14ac:dyDescent="0.2">
      <c r="B335" s="62">
        <v>42257</v>
      </c>
      <c r="C335" s="72">
        <v>43.29</v>
      </c>
      <c r="D335" s="71">
        <v>31313520</v>
      </c>
      <c r="E335" s="66" t="s">
        <v>81</v>
      </c>
      <c r="F335" s="16">
        <f t="shared" si="11"/>
        <v>678</v>
      </c>
      <c r="G335" s="67" cm="1">
        <f t="array" ref="G335">INDEX($B$5:$B$1012, F335)</f>
        <v>41754</v>
      </c>
      <c r="H335" s="69" cm="1">
        <f t="array" ref="H335">INDEX($C$5:$C$1012, F335)</f>
        <v>39.909999999999997</v>
      </c>
      <c r="I335" s="70" cm="1">
        <f t="array" ref="I335">INDEX($D$5:$D$1012, F335)</f>
        <v>56869690</v>
      </c>
    </row>
    <row r="336" spans="2:9" x14ac:dyDescent="0.2">
      <c r="B336" s="62">
        <v>42256</v>
      </c>
      <c r="C336" s="72">
        <v>43.07</v>
      </c>
      <c r="D336" s="71">
        <v>33448580</v>
      </c>
      <c r="E336" s="66" t="s">
        <v>81</v>
      </c>
      <c r="F336" s="16">
        <f t="shared" si="11"/>
        <v>677</v>
      </c>
      <c r="G336" s="67" cm="1">
        <f t="array" ref="G336">INDEX($B$5:$B$1012, F336)</f>
        <v>41757</v>
      </c>
      <c r="H336" s="69" cm="1">
        <f t="array" ref="H336">INDEX($C$5:$C$1012, F336)</f>
        <v>40.869999999999997</v>
      </c>
      <c r="I336" s="70" cm="1">
        <f t="array" ref="I336">INDEX($D$5:$D$1012, F336)</f>
        <v>50598770</v>
      </c>
    </row>
    <row r="337" spans="2:9" x14ac:dyDescent="0.2">
      <c r="B337" s="62">
        <v>42255</v>
      </c>
      <c r="C337" s="72">
        <v>43.89</v>
      </c>
      <c r="D337" s="71">
        <v>32411680</v>
      </c>
      <c r="E337" s="66" t="s">
        <v>81</v>
      </c>
      <c r="F337" s="16">
        <f t="shared" si="11"/>
        <v>676</v>
      </c>
      <c r="G337" s="67" cm="1">
        <f t="array" ref="G337">INDEX($B$5:$B$1012, F337)</f>
        <v>41758</v>
      </c>
      <c r="H337" s="69" cm="1">
        <f t="array" ref="H337">INDEX($C$5:$C$1012, F337)</f>
        <v>40.51</v>
      </c>
      <c r="I337" s="70" cm="1">
        <f t="array" ref="I337">INDEX($D$5:$D$1012, F337)</f>
        <v>29625310</v>
      </c>
    </row>
    <row r="338" spans="2:9" x14ac:dyDescent="0.2">
      <c r="B338" s="62">
        <v>42251</v>
      </c>
      <c r="C338" s="72">
        <v>42.61</v>
      </c>
      <c r="D338" s="71">
        <v>37019110</v>
      </c>
      <c r="E338" s="66" t="s">
        <v>81</v>
      </c>
      <c r="F338" s="16">
        <f t="shared" si="11"/>
        <v>675</v>
      </c>
      <c r="G338" s="67" cm="1">
        <f t="array" ref="G338">INDEX($B$5:$B$1012, F338)</f>
        <v>41759</v>
      </c>
      <c r="H338" s="69" cm="1">
        <f t="array" ref="H338">INDEX($C$5:$C$1012, F338)</f>
        <v>40.4</v>
      </c>
      <c r="I338" s="70" cm="1">
        <f t="array" ref="I338">INDEX($D$5:$D$1012, F338)</f>
        <v>35421760</v>
      </c>
    </row>
    <row r="339" spans="2:9" x14ac:dyDescent="0.2">
      <c r="B339" s="62">
        <v>42250</v>
      </c>
      <c r="C339" s="72">
        <v>43.5</v>
      </c>
      <c r="D339" s="71">
        <v>28206410</v>
      </c>
      <c r="E339" s="66" t="s">
        <v>81</v>
      </c>
      <c r="F339" s="16">
        <f t="shared" si="11"/>
        <v>674</v>
      </c>
      <c r="G339" s="67" cm="1">
        <f t="array" ref="G339">INDEX($B$5:$B$1012, F339)</f>
        <v>41760</v>
      </c>
      <c r="H339" s="69" cm="1">
        <f t="array" ref="H339">INDEX($C$5:$C$1012, F339)</f>
        <v>40</v>
      </c>
      <c r="I339" s="70" cm="1">
        <f t="array" ref="I339">INDEX($D$5:$D$1012, F339)</f>
        <v>28787400</v>
      </c>
    </row>
    <row r="340" spans="2:9" x14ac:dyDescent="0.2">
      <c r="B340" s="62">
        <v>42249</v>
      </c>
      <c r="C340" s="72">
        <v>43.36</v>
      </c>
      <c r="D340" s="71">
        <v>37624230</v>
      </c>
      <c r="E340" s="66" t="s">
        <v>81</v>
      </c>
      <c r="F340" s="16">
        <f t="shared" si="11"/>
        <v>673</v>
      </c>
      <c r="G340" s="67" cm="1">
        <f t="array" ref="G340">INDEX($B$5:$B$1012, F340)</f>
        <v>41761</v>
      </c>
      <c r="H340" s="69" cm="1">
        <f t="array" ref="H340">INDEX($C$5:$C$1012, F340)</f>
        <v>39.69</v>
      </c>
      <c r="I340" s="70" cm="1">
        <f t="array" ref="I340">INDEX($D$5:$D$1012, F340)</f>
        <v>43404480</v>
      </c>
    </row>
    <row r="341" spans="2:9" x14ac:dyDescent="0.2">
      <c r="B341" s="62">
        <v>42248</v>
      </c>
      <c r="C341" s="72">
        <v>41.82</v>
      </c>
      <c r="D341" s="71">
        <v>49682210</v>
      </c>
      <c r="E341" s="66" t="s">
        <v>81</v>
      </c>
      <c r="F341" s="16">
        <f t="shared" si="11"/>
        <v>672</v>
      </c>
      <c r="G341" s="67" cm="1">
        <f t="array" ref="G341">INDEX($B$5:$B$1012, F341)</f>
        <v>41764</v>
      </c>
      <c r="H341" s="69" cm="1">
        <f t="array" ref="H341">INDEX($C$5:$C$1012, F341)</f>
        <v>39.43</v>
      </c>
      <c r="I341" s="70" cm="1">
        <f t="array" ref="I341">INDEX($D$5:$D$1012, F341)</f>
        <v>22438370</v>
      </c>
    </row>
    <row r="342" spans="2:9" x14ac:dyDescent="0.2">
      <c r="B342" s="62">
        <v>42247</v>
      </c>
      <c r="C342" s="72">
        <v>43.52</v>
      </c>
      <c r="D342" s="71">
        <v>34434480</v>
      </c>
      <c r="E342" s="66" t="s">
        <v>81</v>
      </c>
      <c r="F342" s="16">
        <f t="shared" si="11"/>
        <v>671</v>
      </c>
      <c r="G342" s="67" cm="1">
        <f t="array" ref="G342">INDEX($B$5:$B$1012, F342)</f>
        <v>41765</v>
      </c>
      <c r="H342" s="69" cm="1">
        <f t="array" ref="H342">INDEX($C$5:$C$1012, F342)</f>
        <v>39.06</v>
      </c>
      <c r="I342" s="70" cm="1">
        <f t="array" ref="I342">INDEX($D$5:$D$1012, F342)</f>
        <v>27105700</v>
      </c>
    </row>
    <row r="343" spans="2:9" x14ac:dyDescent="0.2">
      <c r="B343" s="62">
        <v>42244</v>
      </c>
      <c r="C343" s="72">
        <v>43.93</v>
      </c>
      <c r="D343" s="71">
        <v>28243230</v>
      </c>
      <c r="E343" s="66" t="s">
        <v>81</v>
      </c>
      <c r="F343" s="16">
        <f t="shared" si="11"/>
        <v>670</v>
      </c>
      <c r="G343" s="67" cm="1">
        <f t="array" ref="G343">INDEX($B$5:$B$1012, F343)</f>
        <v>41766</v>
      </c>
      <c r="H343" s="69" cm="1">
        <f t="array" ref="H343">INDEX($C$5:$C$1012, F343)</f>
        <v>39.424999999999997</v>
      </c>
      <c r="I343" s="70" cm="1">
        <f t="array" ref="I343">INDEX($D$5:$D$1012, F343)</f>
        <v>41731030</v>
      </c>
    </row>
    <row r="344" spans="2:9" x14ac:dyDescent="0.2">
      <c r="B344" s="62">
        <v>42243</v>
      </c>
      <c r="C344" s="72">
        <v>43.9</v>
      </c>
      <c r="D344" s="71">
        <v>50612610</v>
      </c>
      <c r="E344" s="66" t="s">
        <v>81</v>
      </c>
      <c r="F344" s="16">
        <f t="shared" si="11"/>
        <v>669</v>
      </c>
      <c r="G344" s="67" cm="1">
        <f t="array" ref="G344">INDEX($B$5:$B$1012, F344)</f>
        <v>41767</v>
      </c>
      <c r="H344" s="69" cm="1">
        <f t="array" ref="H344">INDEX($C$5:$C$1012, F344)</f>
        <v>39.64</v>
      </c>
      <c r="I344" s="70" cm="1">
        <f t="array" ref="I344">INDEX($D$5:$D$1012, F344)</f>
        <v>32089010</v>
      </c>
    </row>
    <row r="345" spans="2:9" x14ac:dyDescent="0.2">
      <c r="B345" s="62">
        <v>42242</v>
      </c>
      <c r="C345" s="72">
        <v>42.71</v>
      </c>
      <c r="D345" s="71">
        <v>63297300</v>
      </c>
      <c r="E345" s="66" t="s">
        <v>81</v>
      </c>
      <c r="F345" s="16">
        <f t="shared" si="11"/>
        <v>668</v>
      </c>
      <c r="G345" s="67" cm="1">
        <f t="array" ref="G345">INDEX($B$5:$B$1012, F345)</f>
        <v>41768</v>
      </c>
      <c r="H345" s="69" cm="1">
        <f t="array" ref="H345">INDEX($C$5:$C$1012, F345)</f>
        <v>39.54</v>
      </c>
      <c r="I345" s="70" cm="1">
        <f t="array" ref="I345">INDEX($D$5:$D$1012, F345)</f>
        <v>29646100</v>
      </c>
    </row>
    <row r="346" spans="2:9" x14ac:dyDescent="0.2">
      <c r="B346" s="62">
        <v>42241</v>
      </c>
      <c r="C346" s="72">
        <v>40.47</v>
      </c>
      <c r="D346" s="71">
        <v>70369920</v>
      </c>
      <c r="E346" s="66" t="s">
        <v>81</v>
      </c>
      <c r="F346" s="16">
        <f t="shared" si="11"/>
        <v>667</v>
      </c>
      <c r="G346" s="67" cm="1">
        <f t="array" ref="G346">INDEX($B$5:$B$1012, F346)</f>
        <v>41771</v>
      </c>
      <c r="H346" s="69" cm="1">
        <f t="array" ref="H346">INDEX($C$5:$C$1012, F346)</f>
        <v>39.97</v>
      </c>
      <c r="I346" s="70" cm="1">
        <f t="array" ref="I346">INDEX($D$5:$D$1012, F346)</f>
        <v>22761620</v>
      </c>
    </row>
    <row r="347" spans="2:9" x14ac:dyDescent="0.2">
      <c r="B347" s="62">
        <v>42240</v>
      </c>
      <c r="C347" s="72">
        <v>41.68</v>
      </c>
      <c r="D347" s="71">
        <v>88489910</v>
      </c>
      <c r="E347" s="66" t="s">
        <v>81</v>
      </c>
      <c r="F347" s="16">
        <f t="shared" si="11"/>
        <v>666</v>
      </c>
      <c r="G347" s="67" cm="1">
        <f t="array" ref="G347">INDEX($B$5:$B$1012, F347)</f>
        <v>41772</v>
      </c>
      <c r="H347" s="69" cm="1">
        <f t="array" ref="H347">INDEX($C$5:$C$1012, F347)</f>
        <v>40.42</v>
      </c>
      <c r="I347" s="70" cm="1">
        <f t="array" ref="I347">INDEX($D$5:$D$1012, F347)</f>
        <v>26994040</v>
      </c>
    </row>
    <row r="348" spans="2:9" x14ac:dyDescent="0.2">
      <c r="B348" s="62">
        <v>42237</v>
      </c>
      <c r="C348" s="72">
        <v>43.07</v>
      </c>
      <c r="D348" s="71">
        <v>69463900</v>
      </c>
      <c r="E348" s="66" t="s">
        <v>81</v>
      </c>
      <c r="F348" s="16">
        <f t="shared" si="11"/>
        <v>665</v>
      </c>
      <c r="G348" s="67" cm="1">
        <f t="array" ref="G348">INDEX($B$5:$B$1012, F348)</f>
        <v>41773</v>
      </c>
      <c r="H348" s="69" cm="1">
        <f t="array" ref="H348">INDEX($C$5:$C$1012, F348)</f>
        <v>40.24</v>
      </c>
      <c r="I348" s="70" cm="1">
        <f t="array" ref="I348">INDEX($D$5:$D$1012, F348)</f>
        <v>18803840</v>
      </c>
    </row>
    <row r="349" spans="2:9" x14ac:dyDescent="0.2">
      <c r="B349" s="62">
        <v>42236</v>
      </c>
      <c r="C349" s="72">
        <v>45.66</v>
      </c>
      <c r="D349" s="71">
        <v>36176380</v>
      </c>
      <c r="E349" s="66" t="s">
        <v>81</v>
      </c>
      <c r="F349" s="16">
        <f t="shared" si="11"/>
        <v>664</v>
      </c>
      <c r="G349" s="67" cm="1">
        <f t="array" ref="G349">INDEX($B$5:$B$1012, F349)</f>
        <v>41774</v>
      </c>
      <c r="H349" s="69" cm="1">
        <f t="array" ref="H349">INDEX($C$5:$C$1012, F349)</f>
        <v>39.6</v>
      </c>
      <c r="I349" s="70" cm="1">
        <f t="array" ref="I349">INDEX($D$5:$D$1012, F349)</f>
        <v>37717220</v>
      </c>
    </row>
    <row r="350" spans="2:9" x14ac:dyDescent="0.2">
      <c r="B350" s="62">
        <v>42235</v>
      </c>
      <c r="C350" s="72">
        <v>46.61</v>
      </c>
      <c r="D350" s="71">
        <v>31472060</v>
      </c>
      <c r="E350" s="66" t="s">
        <v>81</v>
      </c>
      <c r="F350" s="16">
        <f t="shared" si="11"/>
        <v>663</v>
      </c>
      <c r="G350" s="67" cm="1">
        <f t="array" ref="G350">INDEX($B$5:$B$1012, F350)</f>
        <v>41775</v>
      </c>
      <c r="H350" s="69" cm="1">
        <f t="array" ref="H350">INDEX($C$5:$C$1012, F350)</f>
        <v>39.83</v>
      </c>
      <c r="I350" s="70" cm="1">
        <f t="array" ref="I350">INDEX($D$5:$D$1012, F350)</f>
        <v>29867030</v>
      </c>
    </row>
    <row r="351" spans="2:9" x14ac:dyDescent="0.2">
      <c r="B351" s="62">
        <v>42234</v>
      </c>
      <c r="C351" s="72">
        <v>47.27</v>
      </c>
      <c r="D351" s="71">
        <v>23572990</v>
      </c>
      <c r="E351" s="66" t="s">
        <v>81</v>
      </c>
      <c r="F351" s="16">
        <f t="shared" si="11"/>
        <v>662</v>
      </c>
      <c r="G351" s="67" cm="1">
        <f t="array" ref="G351">INDEX($B$5:$B$1012, F351)</f>
        <v>41778</v>
      </c>
      <c r="H351" s="69" cm="1">
        <f t="array" ref="H351">INDEX($C$5:$C$1012, F351)</f>
        <v>39.75</v>
      </c>
      <c r="I351" s="70" cm="1">
        <f t="array" ref="I351">INDEX($D$5:$D$1012, F351)</f>
        <v>23640880</v>
      </c>
    </row>
    <row r="352" spans="2:9" x14ac:dyDescent="0.2">
      <c r="B352" s="62">
        <v>42233</v>
      </c>
      <c r="C352" s="72">
        <v>47.32</v>
      </c>
      <c r="D352" s="71">
        <v>21039660</v>
      </c>
      <c r="E352" s="66" t="s">
        <v>81</v>
      </c>
      <c r="F352" s="16">
        <f t="shared" si="11"/>
        <v>661</v>
      </c>
      <c r="G352" s="67" cm="1">
        <f t="array" ref="G352">INDEX($B$5:$B$1012, F352)</f>
        <v>41779</v>
      </c>
      <c r="H352" s="69" cm="1">
        <f t="array" ref="H352">INDEX($C$5:$C$1012, F352)</f>
        <v>39.68</v>
      </c>
      <c r="I352" s="70" cm="1">
        <f t="array" ref="I352">INDEX($D$5:$D$1012, F352)</f>
        <v>21318920</v>
      </c>
    </row>
    <row r="353" spans="2:9" x14ac:dyDescent="0.2">
      <c r="B353" s="62">
        <v>42230</v>
      </c>
      <c r="C353" s="72">
        <v>47</v>
      </c>
      <c r="D353" s="71">
        <v>21460830</v>
      </c>
      <c r="E353" s="66" t="s">
        <v>81</v>
      </c>
      <c r="F353" s="16">
        <f t="shared" si="11"/>
        <v>660</v>
      </c>
      <c r="G353" s="67" cm="1">
        <f t="array" ref="G353">INDEX($B$5:$B$1012, F353)</f>
        <v>41780</v>
      </c>
      <c r="H353" s="69" cm="1">
        <f t="array" ref="H353">INDEX($C$5:$C$1012, F353)</f>
        <v>40.35</v>
      </c>
      <c r="I353" s="70" cm="1">
        <f t="array" ref="I353">INDEX($D$5:$D$1012, F353)</f>
        <v>22377460</v>
      </c>
    </row>
    <row r="354" spans="2:9" x14ac:dyDescent="0.2">
      <c r="B354" s="62">
        <v>42229</v>
      </c>
      <c r="C354" s="72">
        <v>46.73</v>
      </c>
      <c r="D354" s="71">
        <v>22612650</v>
      </c>
      <c r="E354" s="66" t="s">
        <v>81</v>
      </c>
      <c r="F354" s="16">
        <f t="shared" si="11"/>
        <v>659</v>
      </c>
      <c r="G354" s="67" cm="1">
        <f t="array" ref="G354">INDEX($B$5:$B$1012, F354)</f>
        <v>41781</v>
      </c>
      <c r="H354" s="69" cm="1">
        <f t="array" ref="H354">INDEX($C$5:$C$1012, F354)</f>
        <v>40.1</v>
      </c>
      <c r="I354" s="70" cm="1">
        <f t="array" ref="I354">INDEX($D$5:$D$1012, F354)</f>
        <v>20201010</v>
      </c>
    </row>
    <row r="355" spans="2:9" x14ac:dyDescent="0.2">
      <c r="B355" s="62">
        <v>42228</v>
      </c>
      <c r="C355" s="72">
        <v>46.74</v>
      </c>
      <c r="D355" s="71">
        <v>30184710</v>
      </c>
      <c r="E355" s="66" t="s">
        <v>81</v>
      </c>
      <c r="F355" s="16">
        <f t="shared" si="11"/>
        <v>658</v>
      </c>
      <c r="G355" s="67" cm="1">
        <f t="array" ref="G355">INDEX($B$5:$B$1012, F355)</f>
        <v>41782</v>
      </c>
      <c r="H355" s="69" cm="1">
        <f t="array" ref="H355">INDEX($C$5:$C$1012, F355)</f>
        <v>40.119999999999997</v>
      </c>
      <c r="I355" s="70" cm="1">
        <f t="array" ref="I355">INDEX($D$5:$D$1012, F355)</f>
        <v>18013300</v>
      </c>
    </row>
    <row r="356" spans="2:9" x14ac:dyDescent="0.2">
      <c r="B356" s="62">
        <v>42227</v>
      </c>
      <c r="C356" s="72">
        <v>46.41</v>
      </c>
      <c r="D356" s="71">
        <v>28757610</v>
      </c>
      <c r="E356" s="66" t="s">
        <v>81</v>
      </c>
      <c r="F356" s="16">
        <f t="shared" si="11"/>
        <v>657</v>
      </c>
      <c r="G356" s="67" cm="1">
        <f t="array" ref="G356">INDEX($B$5:$B$1012, F356)</f>
        <v>41786</v>
      </c>
      <c r="H356" s="69" cm="1">
        <f t="array" ref="H356">INDEX($C$5:$C$1012, F356)</f>
        <v>40.19</v>
      </c>
      <c r="I356" s="70" cm="1">
        <f t="array" ref="I356">INDEX($D$5:$D$1012, F356)</f>
        <v>26160450</v>
      </c>
    </row>
    <row r="357" spans="2:9" x14ac:dyDescent="0.2">
      <c r="B357" s="62">
        <v>42226</v>
      </c>
      <c r="C357" s="72">
        <v>47.33</v>
      </c>
      <c r="D357" s="71">
        <v>23045530</v>
      </c>
      <c r="E357" s="66" t="s">
        <v>81</v>
      </c>
      <c r="F357" s="16">
        <f t="shared" si="11"/>
        <v>656</v>
      </c>
      <c r="G357" s="67" cm="1">
        <f t="array" ref="G357">INDEX($B$5:$B$1012, F357)</f>
        <v>41787</v>
      </c>
      <c r="H357" s="69" cm="1">
        <f t="array" ref="H357">INDEX($C$5:$C$1012, F357)</f>
        <v>40.01</v>
      </c>
      <c r="I357" s="70" cm="1">
        <f t="array" ref="I357">INDEX($D$5:$D$1012, F357)</f>
        <v>25711440</v>
      </c>
    </row>
    <row r="358" spans="2:9" x14ac:dyDescent="0.2">
      <c r="B358" s="62">
        <v>42223</v>
      </c>
      <c r="C358" s="72">
        <v>46.74</v>
      </c>
      <c r="D358" s="71">
        <v>19158590</v>
      </c>
      <c r="E358" s="66" t="s">
        <v>81</v>
      </c>
      <c r="F358" s="16">
        <f t="shared" si="11"/>
        <v>655</v>
      </c>
      <c r="G358" s="67" cm="1">
        <f t="array" ref="G358">INDEX($B$5:$B$1012, F358)</f>
        <v>41788</v>
      </c>
      <c r="H358" s="69" cm="1">
        <f t="array" ref="H358">INDEX($C$5:$C$1012, F358)</f>
        <v>40.340000000000003</v>
      </c>
      <c r="I358" s="70" cm="1">
        <f t="array" ref="I358">INDEX($D$5:$D$1012, F358)</f>
        <v>19887140</v>
      </c>
    </row>
    <row r="359" spans="2:9" x14ac:dyDescent="0.2">
      <c r="B359" s="62">
        <v>42222</v>
      </c>
      <c r="C359" s="72">
        <v>46.62</v>
      </c>
      <c r="D359" s="71">
        <v>27344040</v>
      </c>
      <c r="E359" s="66" t="s">
        <v>81</v>
      </c>
      <c r="F359" s="16">
        <f t="shared" si="11"/>
        <v>654</v>
      </c>
      <c r="G359" s="67" cm="1">
        <f t="array" ref="G359">INDEX($B$5:$B$1012, F359)</f>
        <v>41789</v>
      </c>
      <c r="H359" s="69" cm="1">
        <f t="array" ref="H359">INDEX($C$5:$C$1012, F359)</f>
        <v>40.94</v>
      </c>
      <c r="I359" s="70" cm="1">
        <f t="array" ref="I359">INDEX($D$5:$D$1012, F359)</f>
        <v>34564370</v>
      </c>
    </row>
    <row r="360" spans="2:9" x14ac:dyDescent="0.2">
      <c r="B360" s="62">
        <v>42221</v>
      </c>
      <c r="C360" s="72">
        <v>47.58</v>
      </c>
      <c r="D360" s="71">
        <v>27003740</v>
      </c>
      <c r="E360" s="66" t="s">
        <v>81</v>
      </c>
      <c r="F360" s="16">
        <f t="shared" si="11"/>
        <v>653</v>
      </c>
      <c r="G360" s="67" cm="1">
        <f t="array" ref="G360">INDEX($B$5:$B$1012, F360)</f>
        <v>41792</v>
      </c>
      <c r="H360" s="69" cm="1">
        <f t="array" ref="H360">INDEX($C$5:$C$1012, F360)</f>
        <v>40.79</v>
      </c>
      <c r="I360" s="70" cm="1">
        <f t="array" ref="I360">INDEX($D$5:$D$1012, F360)</f>
        <v>18493950</v>
      </c>
    </row>
    <row r="361" spans="2:9" x14ac:dyDescent="0.2">
      <c r="B361" s="62">
        <v>42220</v>
      </c>
      <c r="C361" s="72">
        <v>47.54</v>
      </c>
      <c r="D361" s="71">
        <v>33306110</v>
      </c>
      <c r="E361" s="66" t="s">
        <v>81</v>
      </c>
      <c r="F361" s="16">
        <f t="shared" si="11"/>
        <v>652</v>
      </c>
      <c r="G361" s="67" cm="1">
        <f t="array" ref="G361">INDEX($B$5:$B$1012, F361)</f>
        <v>41793</v>
      </c>
      <c r="H361" s="69" cm="1">
        <f t="array" ref="H361">INDEX($C$5:$C$1012, F361)</f>
        <v>40.29</v>
      </c>
      <c r="I361" s="70" cm="1">
        <f t="array" ref="I361">INDEX($D$5:$D$1012, F361)</f>
        <v>18041370</v>
      </c>
    </row>
    <row r="362" spans="2:9" x14ac:dyDescent="0.2">
      <c r="B362" s="62">
        <v>42219</v>
      </c>
      <c r="C362" s="72">
        <v>46.81</v>
      </c>
      <c r="D362" s="71">
        <v>23919340</v>
      </c>
      <c r="E362" s="66" t="s">
        <v>81</v>
      </c>
      <c r="F362" s="16">
        <f t="shared" si="11"/>
        <v>651</v>
      </c>
      <c r="G362" s="67" cm="1">
        <f t="array" ref="G362">INDEX($B$5:$B$1012, F362)</f>
        <v>41794</v>
      </c>
      <c r="H362" s="69" cm="1">
        <f t="array" ref="H362">INDEX($C$5:$C$1012, F362)</f>
        <v>40.32</v>
      </c>
      <c r="I362" s="70" cm="1">
        <f t="array" ref="I362">INDEX($D$5:$D$1012, F362)</f>
        <v>23198020</v>
      </c>
    </row>
    <row r="363" spans="2:9" x14ac:dyDescent="0.2">
      <c r="B363" s="62">
        <v>42216</v>
      </c>
      <c r="C363" s="72">
        <v>46.7</v>
      </c>
      <c r="D363" s="71">
        <v>31192430</v>
      </c>
      <c r="E363" s="66" t="s">
        <v>81</v>
      </c>
      <c r="F363" s="16">
        <f t="shared" si="11"/>
        <v>650</v>
      </c>
      <c r="G363" s="67" cm="1">
        <f t="array" ref="G363">INDEX($B$5:$B$1012, F363)</f>
        <v>41795</v>
      </c>
      <c r="H363" s="69" cm="1">
        <f t="array" ref="H363">INDEX($C$5:$C$1012, F363)</f>
        <v>41.21</v>
      </c>
      <c r="I363" s="70" cm="1">
        <f t="array" ref="I363">INDEX($D$5:$D$1012, F363)</f>
        <v>31839900</v>
      </c>
    </row>
    <row r="364" spans="2:9" x14ac:dyDescent="0.2">
      <c r="B364" s="62">
        <v>42215</v>
      </c>
      <c r="C364" s="72">
        <v>46.88</v>
      </c>
      <c r="D364" s="71">
        <v>39755700</v>
      </c>
      <c r="E364" s="66" t="s">
        <v>81</v>
      </c>
      <c r="F364" s="16">
        <f t="shared" si="11"/>
        <v>649</v>
      </c>
      <c r="G364" s="67" cm="1">
        <f t="array" ref="G364">INDEX($B$5:$B$1012, F364)</f>
        <v>41796</v>
      </c>
      <c r="H364" s="69" cm="1">
        <f t="array" ref="H364">INDEX($C$5:$C$1012, F364)</f>
        <v>41.48</v>
      </c>
      <c r="I364" s="70" cm="1">
        <f t="array" ref="I364">INDEX($D$5:$D$1012, F364)</f>
        <v>24042030</v>
      </c>
    </row>
    <row r="365" spans="2:9" x14ac:dyDescent="0.2">
      <c r="B365" s="62">
        <v>42214</v>
      </c>
      <c r="C365" s="72">
        <v>46.29</v>
      </c>
      <c r="D365" s="71">
        <v>40924210</v>
      </c>
      <c r="E365" s="66" t="s">
        <v>81</v>
      </c>
      <c r="F365" s="16">
        <f t="shared" si="11"/>
        <v>648</v>
      </c>
      <c r="G365" s="67" cm="1">
        <f t="array" ref="G365">INDEX($B$5:$B$1012, F365)</f>
        <v>41799</v>
      </c>
      <c r="H365" s="69" cm="1">
        <f t="array" ref="H365">INDEX($C$5:$C$1012, F365)</f>
        <v>41.27</v>
      </c>
      <c r="I365" s="70" cm="1">
        <f t="array" ref="I365">INDEX($D$5:$D$1012, F365)</f>
        <v>15011640</v>
      </c>
    </row>
    <row r="366" spans="2:9" x14ac:dyDescent="0.2">
      <c r="B366" s="62">
        <v>42213</v>
      </c>
      <c r="C366" s="72">
        <v>45.34</v>
      </c>
      <c r="D366" s="71">
        <v>34309080</v>
      </c>
      <c r="E366" s="66" t="s">
        <v>81</v>
      </c>
      <c r="F366" s="16">
        <f t="shared" si="11"/>
        <v>647</v>
      </c>
      <c r="G366" s="67" cm="1">
        <f t="array" ref="G366">INDEX($B$5:$B$1012, F366)</f>
        <v>41800</v>
      </c>
      <c r="H366" s="69" cm="1">
        <f t="array" ref="H366">INDEX($C$5:$C$1012, F366)</f>
        <v>41.11</v>
      </c>
      <c r="I366" s="70" cm="1">
        <f t="array" ref="I366">INDEX($D$5:$D$1012, F366)</f>
        <v>15002270</v>
      </c>
    </row>
    <row r="367" spans="2:9" x14ac:dyDescent="0.2">
      <c r="B367" s="62">
        <v>42212</v>
      </c>
      <c r="C367" s="72">
        <v>45.35</v>
      </c>
      <c r="D367" s="71">
        <v>39472930</v>
      </c>
      <c r="E367" s="66" t="s">
        <v>81</v>
      </c>
      <c r="F367" s="16">
        <f t="shared" si="11"/>
        <v>646</v>
      </c>
      <c r="G367" s="67" cm="1">
        <f t="array" ref="G367">INDEX($B$5:$B$1012, F367)</f>
        <v>41801</v>
      </c>
      <c r="H367" s="69" cm="1">
        <f t="array" ref="H367">INDEX($C$5:$C$1012, F367)</f>
        <v>40.86</v>
      </c>
      <c r="I367" s="70" cm="1">
        <f t="array" ref="I367">INDEX($D$5:$D$1012, F367)</f>
        <v>17635280</v>
      </c>
    </row>
    <row r="368" spans="2:9" x14ac:dyDescent="0.2">
      <c r="B368" s="62">
        <v>42209</v>
      </c>
      <c r="C368" s="72">
        <v>45.94</v>
      </c>
      <c r="D368" s="71">
        <v>32304070</v>
      </c>
      <c r="E368" s="66" t="s">
        <v>81</v>
      </c>
      <c r="F368" s="16">
        <f t="shared" si="11"/>
        <v>645</v>
      </c>
      <c r="G368" s="67" cm="1">
        <f t="array" ref="G368">INDEX($B$5:$B$1012, F368)</f>
        <v>41802</v>
      </c>
      <c r="H368" s="69" cm="1">
        <f t="array" ref="H368">INDEX($C$5:$C$1012, F368)</f>
        <v>40.58</v>
      </c>
      <c r="I368" s="70" cm="1">
        <f t="array" ref="I368">INDEX($D$5:$D$1012, F368)</f>
        <v>29812690</v>
      </c>
    </row>
    <row r="369" spans="2:9" x14ac:dyDescent="0.2">
      <c r="B369" s="62">
        <v>42208</v>
      </c>
      <c r="C369" s="72">
        <v>46.11</v>
      </c>
      <c r="D369" s="71">
        <v>33708200</v>
      </c>
      <c r="E369" s="66" t="s">
        <v>81</v>
      </c>
      <c r="F369" s="16">
        <f t="shared" si="11"/>
        <v>644</v>
      </c>
      <c r="G369" s="67" cm="1">
        <f t="array" ref="G369">INDEX($B$5:$B$1012, F369)</f>
        <v>41803</v>
      </c>
      <c r="H369" s="69" cm="1">
        <f t="array" ref="H369">INDEX($C$5:$C$1012, F369)</f>
        <v>41.23</v>
      </c>
      <c r="I369" s="70" cm="1">
        <f t="array" ref="I369">INDEX($D$5:$D$1012, F369)</f>
        <v>26305900</v>
      </c>
    </row>
    <row r="370" spans="2:9" x14ac:dyDescent="0.2">
      <c r="B370" s="62">
        <v>42207</v>
      </c>
      <c r="C370" s="72">
        <v>45.54</v>
      </c>
      <c r="D370" s="71">
        <v>59039160</v>
      </c>
      <c r="E370" s="66" t="s">
        <v>81</v>
      </c>
      <c r="F370" s="16">
        <f t="shared" si="11"/>
        <v>643</v>
      </c>
      <c r="G370" s="67" cm="1">
        <f t="array" ref="G370">INDEX($B$5:$B$1012, F370)</f>
        <v>41806</v>
      </c>
      <c r="H370" s="69" cm="1">
        <f t="array" ref="H370">INDEX($C$5:$C$1012, F370)</f>
        <v>41.5</v>
      </c>
      <c r="I370" s="70" cm="1">
        <f t="array" ref="I370">INDEX($D$5:$D$1012, F370)</f>
        <v>24127410</v>
      </c>
    </row>
    <row r="371" spans="2:9" x14ac:dyDescent="0.2">
      <c r="B371" s="62">
        <v>42206</v>
      </c>
      <c r="C371" s="72">
        <v>47.28</v>
      </c>
      <c r="D371" s="71">
        <v>42211210</v>
      </c>
      <c r="E371" s="66" t="s">
        <v>81</v>
      </c>
      <c r="F371" s="16">
        <f t="shared" si="11"/>
        <v>642</v>
      </c>
      <c r="G371" s="67" cm="1">
        <f t="array" ref="G371">INDEX($B$5:$B$1012, F371)</f>
        <v>41807</v>
      </c>
      <c r="H371" s="69" cm="1">
        <f t="array" ref="H371">INDEX($C$5:$C$1012, F371)</f>
        <v>41.68</v>
      </c>
      <c r="I371" s="70" cm="1">
        <f t="array" ref="I371">INDEX($D$5:$D$1012, F371)</f>
        <v>22473060</v>
      </c>
    </row>
    <row r="372" spans="2:9" x14ac:dyDescent="0.2">
      <c r="B372" s="62">
        <v>42205</v>
      </c>
      <c r="C372" s="72">
        <v>46.92</v>
      </c>
      <c r="D372" s="71">
        <v>30607770</v>
      </c>
      <c r="E372" s="66" t="s">
        <v>81</v>
      </c>
      <c r="F372" s="16">
        <f t="shared" si="11"/>
        <v>641</v>
      </c>
      <c r="G372" s="67" cm="1">
        <f t="array" ref="G372">INDEX($B$5:$B$1012, F372)</f>
        <v>41808</v>
      </c>
      <c r="H372" s="69" cm="1">
        <f t="array" ref="H372">INDEX($C$5:$C$1012, F372)</f>
        <v>41.65</v>
      </c>
      <c r="I372" s="70" cm="1">
        <f t="array" ref="I372">INDEX($D$5:$D$1012, F372)</f>
        <v>27053740</v>
      </c>
    </row>
    <row r="373" spans="2:9" x14ac:dyDescent="0.2">
      <c r="B373" s="62">
        <v>42202</v>
      </c>
      <c r="C373" s="72">
        <v>46.62</v>
      </c>
      <c r="D373" s="71">
        <v>29454740</v>
      </c>
      <c r="E373" s="66" t="s">
        <v>81</v>
      </c>
      <c r="F373" s="16">
        <f t="shared" si="11"/>
        <v>640</v>
      </c>
      <c r="G373" s="67" cm="1">
        <f t="array" ref="G373">INDEX($B$5:$B$1012, F373)</f>
        <v>41809</v>
      </c>
      <c r="H373" s="69" cm="1">
        <f t="array" ref="H373">INDEX($C$5:$C$1012, F373)</f>
        <v>41.51</v>
      </c>
      <c r="I373" s="70" cm="1">
        <f t="array" ref="I373">INDEX($D$5:$D$1012, F373)</f>
        <v>19828190</v>
      </c>
    </row>
    <row r="374" spans="2:9" x14ac:dyDescent="0.2">
      <c r="B374" s="62">
        <v>42201</v>
      </c>
      <c r="C374" s="72">
        <v>46.66</v>
      </c>
      <c r="D374" s="71">
        <v>26254220</v>
      </c>
      <c r="E374" s="66" t="s">
        <v>81</v>
      </c>
      <c r="F374" s="16">
        <f t="shared" si="11"/>
        <v>639</v>
      </c>
      <c r="G374" s="67" cm="1">
        <f t="array" ref="G374">INDEX($B$5:$B$1012, F374)</f>
        <v>41810</v>
      </c>
      <c r="H374" s="69" cm="1">
        <f t="array" ref="H374">INDEX($C$5:$C$1012, F374)</f>
        <v>41.68</v>
      </c>
      <c r="I374" s="70" cm="1">
        <f t="array" ref="I374">INDEX($D$5:$D$1012, F374)</f>
        <v>47760950</v>
      </c>
    </row>
    <row r="375" spans="2:9" x14ac:dyDescent="0.2">
      <c r="B375" s="62">
        <v>42200</v>
      </c>
      <c r="C375" s="72">
        <v>45.76</v>
      </c>
      <c r="D375" s="71">
        <v>26619810</v>
      </c>
      <c r="E375" s="66" t="s">
        <v>81</v>
      </c>
      <c r="F375" s="16">
        <f t="shared" si="11"/>
        <v>638</v>
      </c>
      <c r="G375" s="67" cm="1">
        <f t="array" ref="G375">INDEX($B$5:$B$1012, F375)</f>
        <v>41813</v>
      </c>
      <c r="H375" s="69" cm="1">
        <f t="array" ref="H375">INDEX($C$5:$C$1012, F375)</f>
        <v>41.99</v>
      </c>
      <c r="I375" s="70" cm="1">
        <f t="array" ref="I375">INDEX($D$5:$D$1012, F375)</f>
        <v>18731430</v>
      </c>
    </row>
    <row r="376" spans="2:9" x14ac:dyDescent="0.2">
      <c r="B376" s="62">
        <v>42199</v>
      </c>
      <c r="C376" s="72">
        <v>45.62</v>
      </c>
      <c r="D376" s="71">
        <v>22865770</v>
      </c>
      <c r="E376" s="66" t="s">
        <v>81</v>
      </c>
      <c r="F376" s="16">
        <f t="shared" si="11"/>
        <v>637</v>
      </c>
      <c r="G376" s="67" cm="1">
        <f t="array" ref="G376">INDEX($B$5:$B$1012, F376)</f>
        <v>41814</v>
      </c>
      <c r="H376" s="69" cm="1">
        <f t="array" ref="H376">INDEX($C$5:$C$1012, F376)</f>
        <v>41.744999999999997</v>
      </c>
      <c r="I376" s="70" cm="1">
        <f t="array" ref="I376">INDEX($D$5:$D$1012, F376)</f>
        <v>26499460</v>
      </c>
    </row>
    <row r="377" spans="2:9" x14ac:dyDescent="0.2">
      <c r="B377" s="62">
        <v>42198</v>
      </c>
      <c r="C377" s="72">
        <v>45.54</v>
      </c>
      <c r="D377" s="71">
        <v>27875670</v>
      </c>
      <c r="E377" s="66" t="s">
        <v>81</v>
      </c>
      <c r="F377" s="16">
        <f t="shared" si="11"/>
        <v>636</v>
      </c>
      <c r="G377" s="67" cm="1">
        <f t="array" ref="G377">INDEX($B$5:$B$1012, F377)</f>
        <v>41815</v>
      </c>
      <c r="H377" s="69" cm="1">
        <f t="array" ref="H377">INDEX($C$5:$C$1012, F377)</f>
        <v>42.03</v>
      </c>
      <c r="I377" s="70" cm="1">
        <f t="array" ref="I377">INDEX($D$5:$D$1012, F377)</f>
        <v>20038340</v>
      </c>
    </row>
    <row r="378" spans="2:9" x14ac:dyDescent="0.2">
      <c r="B378" s="62">
        <v>42195</v>
      </c>
      <c r="C378" s="72">
        <v>44.61</v>
      </c>
      <c r="D378" s="71">
        <v>25365530</v>
      </c>
      <c r="E378" s="66" t="s">
        <v>81</v>
      </c>
      <c r="F378" s="16">
        <f t="shared" si="11"/>
        <v>635</v>
      </c>
      <c r="G378" s="67" cm="1">
        <f t="array" ref="G378">INDEX($B$5:$B$1012, F378)</f>
        <v>41816</v>
      </c>
      <c r="H378" s="69" cm="1">
        <f t="array" ref="H378">INDEX($C$5:$C$1012, F378)</f>
        <v>41.72</v>
      </c>
      <c r="I378" s="70" cm="1">
        <f t="array" ref="I378">INDEX($D$5:$D$1012, F378)</f>
        <v>23604390</v>
      </c>
    </row>
    <row r="379" spans="2:9" x14ac:dyDescent="0.2">
      <c r="B379" s="62">
        <v>42194</v>
      </c>
      <c r="C379" s="72">
        <v>44.52</v>
      </c>
      <c r="D379" s="71">
        <v>32404100</v>
      </c>
      <c r="E379" s="66" t="s">
        <v>81</v>
      </c>
      <c r="F379" s="16">
        <f t="shared" si="11"/>
        <v>634</v>
      </c>
      <c r="G379" s="67" cm="1">
        <f t="array" ref="G379">INDEX($B$5:$B$1012, F379)</f>
        <v>41817</v>
      </c>
      <c r="H379" s="69" cm="1">
        <f t="array" ref="H379">INDEX($C$5:$C$1012, F379)</f>
        <v>42.25</v>
      </c>
      <c r="I379" s="70" cm="1">
        <f t="array" ref="I379">INDEX($D$5:$D$1012, F379)</f>
        <v>70385440</v>
      </c>
    </row>
    <row r="380" spans="2:9" x14ac:dyDescent="0.2">
      <c r="B380" s="62">
        <v>42193</v>
      </c>
      <c r="C380" s="72">
        <v>44.24</v>
      </c>
      <c r="D380" s="71">
        <v>39761460</v>
      </c>
      <c r="E380" s="66" t="s">
        <v>81</v>
      </c>
      <c r="F380" s="16">
        <f t="shared" si="11"/>
        <v>633</v>
      </c>
      <c r="G380" s="67" cm="1">
        <f t="array" ref="G380">INDEX($B$5:$B$1012, F380)</f>
        <v>41820</v>
      </c>
      <c r="H380" s="69" cm="1">
        <f t="array" ref="H380">INDEX($C$5:$C$1012, F380)</f>
        <v>41.7</v>
      </c>
      <c r="I380" s="70" cm="1">
        <f t="array" ref="I380">INDEX($D$5:$D$1012, F380)</f>
        <v>30790300</v>
      </c>
    </row>
    <row r="381" spans="2:9" x14ac:dyDescent="0.2">
      <c r="B381" s="62">
        <v>42192</v>
      </c>
      <c r="C381" s="72">
        <v>44.3</v>
      </c>
      <c r="D381" s="71">
        <v>36420230</v>
      </c>
      <c r="E381" s="66" t="s">
        <v>81</v>
      </c>
      <c r="F381" s="16">
        <f t="shared" si="11"/>
        <v>632</v>
      </c>
      <c r="G381" s="67" cm="1">
        <f t="array" ref="G381">INDEX($B$5:$B$1012, F381)</f>
        <v>41821</v>
      </c>
      <c r="H381" s="69" cm="1">
        <f t="array" ref="H381">INDEX($C$5:$C$1012, F381)</f>
        <v>41.87</v>
      </c>
      <c r="I381" s="70" cm="1">
        <f t="array" ref="I381">INDEX($D$5:$D$1012, F381)</f>
        <v>26916950</v>
      </c>
    </row>
    <row r="382" spans="2:9" x14ac:dyDescent="0.2">
      <c r="B382" s="62">
        <v>42191</v>
      </c>
      <c r="C382" s="72">
        <v>44.39</v>
      </c>
      <c r="D382" s="71">
        <v>23025750</v>
      </c>
      <c r="E382" s="66" t="s">
        <v>81</v>
      </c>
      <c r="F382" s="16">
        <f t="shared" si="11"/>
        <v>631</v>
      </c>
      <c r="G382" s="67" cm="1">
        <f t="array" ref="G382">INDEX($B$5:$B$1012, F382)</f>
        <v>41822</v>
      </c>
      <c r="H382" s="69" cm="1">
        <f t="array" ref="H382">INDEX($C$5:$C$1012, F382)</f>
        <v>41.9</v>
      </c>
      <c r="I382" s="70" cm="1">
        <f t="array" ref="I382">INDEX($D$5:$D$1012, F382)</f>
        <v>20208090</v>
      </c>
    </row>
    <row r="383" spans="2:9" x14ac:dyDescent="0.2">
      <c r="B383" s="62">
        <v>42187</v>
      </c>
      <c r="C383" s="72">
        <v>44.4</v>
      </c>
      <c r="D383" s="71">
        <v>21743250</v>
      </c>
      <c r="E383" s="66" t="s">
        <v>81</v>
      </c>
      <c r="F383" s="16">
        <f t="shared" si="11"/>
        <v>630</v>
      </c>
      <c r="G383" s="67" cm="1">
        <f t="array" ref="G383">INDEX($B$5:$B$1012, F383)</f>
        <v>41823</v>
      </c>
      <c r="H383" s="69" cm="1">
        <f t="array" ref="H383">INDEX($C$5:$C$1012, F383)</f>
        <v>41.8</v>
      </c>
      <c r="I383" s="70" cm="1">
        <f t="array" ref="I383">INDEX($D$5:$D$1012, F383)</f>
        <v>15969310</v>
      </c>
    </row>
    <row r="384" spans="2:9" x14ac:dyDescent="0.2">
      <c r="B384" s="62">
        <v>42186</v>
      </c>
      <c r="C384" s="72">
        <v>44.445</v>
      </c>
      <c r="D384" s="71">
        <v>28339610</v>
      </c>
      <c r="E384" s="66" t="s">
        <v>81</v>
      </c>
      <c r="F384" s="16">
        <f t="shared" si="11"/>
        <v>629</v>
      </c>
      <c r="G384" s="67" cm="1">
        <f t="array" ref="G384">INDEX($B$5:$B$1012, F384)</f>
        <v>41827</v>
      </c>
      <c r="H384" s="69" cm="1">
        <f t="array" ref="H384">INDEX($C$5:$C$1012, F384)</f>
        <v>41.99</v>
      </c>
      <c r="I384" s="70" cm="1">
        <f t="array" ref="I384">INDEX($D$5:$D$1012, F384)</f>
        <v>21896680</v>
      </c>
    </row>
    <row r="385" spans="2:9" x14ac:dyDescent="0.2">
      <c r="B385" s="62">
        <v>42185</v>
      </c>
      <c r="C385" s="72">
        <v>44.15</v>
      </c>
      <c r="D385" s="71">
        <v>35943040</v>
      </c>
      <c r="E385" s="66" t="s">
        <v>81</v>
      </c>
      <c r="F385" s="16">
        <f t="shared" si="11"/>
        <v>628</v>
      </c>
      <c r="G385" s="67" cm="1">
        <f t="array" ref="G385">INDEX($B$5:$B$1012, F385)</f>
        <v>41828</v>
      </c>
      <c r="H385" s="69" cm="1">
        <f t="array" ref="H385">INDEX($C$5:$C$1012, F385)</f>
        <v>41.78</v>
      </c>
      <c r="I385" s="70" cm="1">
        <f t="array" ref="I385">INDEX($D$5:$D$1012, F385)</f>
        <v>31218210</v>
      </c>
    </row>
    <row r="386" spans="2:9" x14ac:dyDescent="0.2">
      <c r="B386" s="62">
        <v>42184</v>
      </c>
      <c r="C386" s="72">
        <v>44.37</v>
      </c>
      <c r="D386" s="71">
        <v>34004400</v>
      </c>
      <c r="E386" s="66" t="s">
        <v>81</v>
      </c>
      <c r="F386" s="16">
        <f t="shared" si="11"/>
        <v>627</v>
      </c>
      <c r="G386" s="67" cm="1">
        <f t="array" ref="G386">INDEX($B$5:$B$1012, F386)</f>
        <v>41829</v>
      </c>
      <c r="H386" s="69" cm="1">
        <f t="array" ref="H386">INDEX($C$5:$C$1012, F386)</f>
        <v>41.67</v>
      </c>
      <c r="I386" s="70" cm="1">
        <f t="array" ref="I386">INDEX($D$5:$D$1012, F386)</f>
        <v>18374910</v>
      </c>
    </row>
    <row r="387" spans="2:9" x14ac:dyDescent="0.2">
      <c r="B387" s="62">
        <v>42181</v>
      </c>
      <c r="C387" s="72">
        <v>45.26</v>
      </c>
      <c r="D387" s="71">
        <v>49757070</v>
      </c>
      <c r="E387" s="66" t="s">
        <v>81</v>
      </c>
      <c r="F387" s="16">
        <f t="shared" si="11"/>
        <v>626</v>
      </c>
      <c r="G387" s="67" cm="1">
        <f t="array" ref="G387">INDEX($B$5:$B$1012, F387)</f>
        <v>41830</v>
      </c>
      <c r="H387" s="69" cm="1">
        <f t="array" ref="H387">INDEX($C$5:$C$1012, F387)</f>
        <v>41.685000000000002</v>
      </c>
      <c r="I387" s="70" cm="1">
        <f t="array" ref="I387">INDEX($D$5:$D$1012, F387)</f>
        <v>21854010</v>
      </c>
    </row>
    <row r="388" spans="2:9" x14ac:dyDescent="0.2">
      <c r="B388" s="62">
        <v>42180</v>
      </c>
      <c r="C388" s="72">
        <v>45.65</v>
      </c>
      <c r="D388" s="71">
        <v>20599990</v>
      </c>
      <c r="E388" s="66" t="s">
        <v>81</v>
      </c>
      <c r="F388" s="16">
        <f t="shared" si="11"/>
        <v>625</v>
      </c>
      <c r="G388" s="67" cm="1">
        <f t="array" ref="G388">INDEX($B$5:$B$1012, F388)</f>
        <v>41831</v>
      </c>
      <c r="H388" s="69" cm="1">
        <f t="array" ref="H388">INDEX($C$5:$C$1012, F388)</f>
        <v>42.09</v>
      </c>
      <c r="I388" s="70" cm="1">
        <f t="array" ref="I388">INDEX($D$5:$D$1012, F388)</f>
        <v>24082750</v>
      </c>
    </row>
    <row r="389" spans="2:9" x14ac:dyDescent="0.2">
      <c r="B389" s="62">
        <v>42179</v>
      </c>
      <c r="C389" s="72">
        <v>45.634999999999998</v>
      </c>
      <c r="D389" s="71">
        <v>34849400</v>
      </c>
      <c r="E389" s="66" t="s">
        <v>81</v>
      </c>
      <c r="F389" s="16">
        <f t="shared" si="11"/>
        <v>624</v>
      </c>
      <c r="G389" s="67" cm="1">
        <f t="array" ref="G389">INDEX($B$5:$B$1012, F389)</f>
        <v>41834</v>
      </c>
      <c r="H389" s="69" cm="1">
        <f t="array" ref="H389">INDEX($C$5:$C$1012, F389)</f>
        <v>42.14</v>
      </c>
      <c r="I389" s="70" cm="1">
        <f t="array" ref="I389">INDEX($D$5:$D$1012, F389)</f>
        <v>21878810</v>
      </c>
    </row>
    <row r="390" spans="2:9" x14ac:dyDescent="0.2">
      <c r="B390" s="62">
        <v>42178</v>
      </c>
      <c r="C390" s="72">
        <v>45.91</v>
      </c>
      <c r="D390" s="71">
        <v>25881850</v>
      </c>
      <c r="E390" s="66" t="s">
        <v>81</v>
      </c>
      <c r="F390" s="16">
        <f t="shared" ref="F390:F453" si="12">COUNT(B390:B1397)</f>
        <v>623</v>
      </c>
      <c r="G390" s="67" cm="1">
        <f t="array" ref="G390">INDEX($B$5:$B$1012, F390)</f>
        <v>41835</v>
      </c>
      <c r="H390" s="69" cm="1">
        <f t="array" ref="H390">INDEX($C$5:$C$1012, F390)</f>
        <v>42.45</v>
      </c>
      <c r="I390" s="70" cm="1">
        <f t="array" ref="I390">INDEX($D$5:$D$1012, F390)</f>
        <v>28743300</v>
      </c>
    </row>
    <row r="391" spans="2:9" x14ac:dyDescent="0.2">
      <c r="B391" s="62">
        <v>42177</v>
      </c>
      <c r="C391" s="72">
        <v>46.23</v>
      </c>
      <c r="D391" s="71">
        <v>20300480</v>
      </c>
      <c r="E391" s="66" t="s">
        <v>81</v>
      </c>
      <c r="F391" s="16">
        <f t="shared" si="12"/>
        <v>622</v>
      </c>
      <c r="G391" s="67" cm="1">
        <f t="array" ref="G391">INDEX($B$5:$B$1012, F391)</f>
        <v>41836</v>
      </c>
      <c r="H391" s="69" cm="1">
        <f t="array" ref="H391">INDEX($C$5:$C$1012, F391)</f>
        <v>44.08</v>
      </c>
      <c r="I391" s="70" cm="1">
        <f t="array" ref="I391">INDEX($D$5:$D$1012, F391)</f>
        <v>63304860</v>
      </c>
    </row>
    <row r="392" spans="2:9" x14ac:dyDescent="0.2">
      <c r="B392" s="62">
        <v>42174</v>
      </c>
      <c r="C392" s="72">
        <v>46.1</v>
      </c>
      <c r="D392" s="71">
        <v>63733110</v>
      </c>
      <c r="E392" s="66" t="s">
        <v>81</v>
      </c>
      <c r="F392" s="16">
        <f t="shared" si="12"/>
        <v>621</v>
      </c>
      <c r="G392" s="67" cm="1">
        <f t="array" ref="G392">INDEX($B$5:$B$1012, F392)</f>
        <v>41837</v>
      </c>
      <c r="H392" s="69" cm="1">
        <f t="array" ref="H392">INDEX($C$5:$C$1012, F392)</f>
        <v>44.53</v>
      </c>
      <c r="I392" s="70" cm="1">
        <f t="array" ref="I392">INDEX($D$5:$D$1012, F392)</f>
        <v>82146080</v>
      </c>
    </row>
    <row r="393" spans="2:9" x14ac:dyDescent="0.2">
      <c r="B393" s="62">
        <v>42173</v>
      </c>
      <c r="C393" s="72">
        <v>46.72</v>
      </c>
      <c r="D393" s="71">
        <v>32586480</v>
      </c>
      <c r="E393" s="66" t="s">
        <v>81</v>
      </c>
      <c r="F393" s="16">
        <f t="shared" si="12"/>
        <v>620</v>
      </c>
      <c r="G393" s="67" cm="1">
        <f t="array" ref="G393">INDEX($B$5:$B$1012, F393)</f>
        <v>41838</v>
      </c>
      <c r="H393" s="69" cm="1">
        <f t="array" ref="H393">INDEX($C$5:$C$1012, F393)</f>
        <v>44.69</v>
      </c>
      <c r="I393" s="70" cm="1">
        <f t="array" ref="I393">INDEX($D$5:$D$1012, F393)</f>
        <v>43396060</v>
      </c>
    </row>
    <row r="394" spans="2:9" x14ac:dyDescent="0.2">
      <c r="B394" s="62">
        <v>42172</v>
      </c>
      <c r="C394" s="72">
        <v>45.97</v>
      </c>
      <c r="D394" s="71">
        <v>28683290</v>
      </c>
      <c r="E394" s="66" t="s">
        <v>81</v>
      </c>
      <c r="F394" s="16">
        <f t="shared" si="12"/>
        <v>619</v>
      </c>
      <c r="G394" s="67" cm="1">
        <f t="array" ref="G394">INDEX($B$5:$B$1012, F394)</f>
        <v>41841</v>
      </c>
      <c r="H394" s="69" cm="1">
        <f t="array" ref="H394">INDEX($C$5:$C$1012, F394)</f>
        <v>44.835000000000001</v>
      </c>
      <c r="I394" s="70" cm="1">
        <f t="array" ref="I394">INDEX($D$5:$D$1012, F394)</f>
        <v>37569630</v>
      </c>
    </row>
    <row r="395" spans="2:9" x14ac:dyDescent="0.2">
      <c r="B395" s="62">
        <v>42171</v>
      </c>
      <c r="C395" s="72">
        <v>45.83</v>
      </c>
      <c r="D395" s="71">
        <v>26895950</v>
      </c>
      <c r="E395" s="66" t="s">
        <v>81</v>
      </c>
      <c r="F395" s="16">
        <f t="shared" si="12"/>
        <v>618</v>
      </c>
      <c r="G395" s="67" cm="1">
        <f t="array" ref="G395">INDEX($B$5:$B$1012, F395)</f>
        <v>41842</v>
      </c>
      <c r="H395" s="69" cm="1">
        <f t="array" ref="H395">INDEX($C$5:$C$1012, F395)</f>
        <v>44.83</v>
      </c>
      <c r="I395" s="70" cm="1">
        <f t="array" ref="I395">INDEX($D$5:$D$1012, F395)</f>
        <v>42589920</v>
      </c>
    </row>
    <row r="396" spans="2:9" x14ac:dyDescent="0.2">
      <c r="B396" s="62">
        <v>42170</v>
      </c>
      <c r="C396" s="72">
        <v>45.475000000000001</v>
      </c>
      <c r="D396" s="71">
        <v>33227000</v>
      </c>
      <c r="E396" s="66" t="s">
        <v>81</v>
      </c>
      <c r="F396" s="16">
        <f t="shared" si="12"/>
        <v>617</v>
      </c>
      <c r="G396" s="67" cm="1">
        <f t="array" ref="G396">INDEX($B$5:$B$1012, F396)</f>
        <v>41843</v>
      </c>
      <c r="H396" s="69" cm="1">
        <f t="array" ref="H396">INDEX($C$5:$C$1012, F396)</f>
        <v>44.87</v>
      </c>
      <c r="I396" s="70" cm="1">
        <f t="array" ref="I396">INDEX($D$5:$D$1012, F396)</f>
        <v>52352270</v>
      </c>
    </row>
    <row r="397" spans="2:9" x14ac:dyDescent="0.2">
      <c r="B397" s="62">
        <v>42167</v>
      </c>
      <c r="C397" s="72">
        <v>45.97</v>
      </c>
      <c r="D397" s="71">
        <v>23916080</v>
      </c>
      <c r="E397" s="66" t="s">
        <v>81</v>
      </c>
      <c r="F397" s="16">
        <f t="shared" si="12"/>
        <v>616</v>
      </c>
      <c r="G397" s="67" cm="1">
        <f t="array" ref="G397">INDEX($B$5:$B$1012, F397)</f>
        <v>41844</v>
      </c>
      <c r="H397" s="69" cm="1">
        <f t="array" ref="H397">INDEX($C$5:$C$1012, F397)</f>
        <v>44.4</v>
      </c>
      <c r="I397" s="70" cm="1">
        <f t="array" ref="I397">INDEX($D$5:$D$1012, F397)</f>
        <v>30692230</v>
      </c>
    </row>
    <row r="398" spans="2:9" x14ac:dyDescent="0.2">
      <c r="B398" s="62">
        <v>42166</v>
      </c>
      <c r="C398" s="72">
        <v>46.44</v>
      </c>
      <c r="D398" s="71">
        <v>27290100</v>
      </c>
      <c r="E398" s="66" t="s">
        <v>81</v>
      </c>
      <c r="F398" s="16">
        <f t="shared" si="12"/>
        <v>615</v>
      </c>
      <c r="G398" s="67" cm="1">
        <f t="array" ref="G398">INDEX($B$5:$B$1012, F398)</f>
        <v>41845</v>
      </c>
      <c r="H398" s="69" cm="1">
        <f t="array" ref="H398">INDEX($C$5:$C$1012, F398)</f>
        <v>44.5</v>
      </c>
      <c r="I398" s="70" cm="1">
        <f t="array" ref="I398">INDEX($D$5:$D$1012, F398)</f>
        <v>26700810</v>
      </c>
    </row>
    <row r="399" spans="2:9" x14ac:dyDescent="0.2">
      <c r="B399" s="62">
        <v>42165</v>
      </c>
      <c r="C399" s="72">
        <v>46.61</v>
      </c>
      <c r="D399" s="71">
        <v>28416030</v>
      </c>
      <c r="E399" s="66" t="s">
        <v>81</v>
      </c>
      <c r="F399" s="16">
        <f t="shared" si="12"/>
        <v>614</v>
      </c>
      <c r="G399" s="67" cm="1">
        <f t="array" ref="G399">INDEX($B$5:$B$1012, F399)</f>
        <v>41848</v>
      </c>
      <c r="H399" s="69" cm="1">
        <f t="array" ref="H399">INDEX($C$5:$C$1012, F399)</f>
        <v>43.97</v>
      </c>
      <c r="I399" s="70" cm="1">
        <f t="array" ref="I399">INDEX($D$5:$D$1012, F399)</f>
        <v>29650540</v>
      </c>
    </row>
    <row r="400" spans="2:9" x14ac:dyDescent="0.2">
      <c r="B400" s="62">
        <v>42164</v>
      </c>
      <c r="C400" s="72">
        <v>45.65</v>
      </c>
      <c r="D400" s="71">
        <v>24395800</v>
      </c>
      <c r="E400" s="66" t="s">
        <v>81</v>
      </c>
      <c r="F400" s="16">
        <f t="shared" si="12"/>
        <v>613</v>
      </c>
      <c r="G400" s="67" cm="1">
        <f t="array" ref="G400">INDEX($B$5:$B$1012, F400)</f>
        <v>41849</v>
      </c>
      <c r="H400" s="69" cm="1">
        <f t="array" ref="H400">INDEX($C$5:$C$1012, F400)</f>
        <v>43.884999999999998</v>
      </c>
      <c r="I400" s="70" cm="1">
        <f t="array" ref="I400">INDEX($D$5:$D$1012, F400)</f>
        <v>27755840</v>
      </c>
    </row>
    <row r="401" spans="2:9" x14ac:dyDescent="0.2">
      <c r="B401" s="62">
        <v>42163</v>
      </c>
      <c r="C401" s="72">
        <v>45.73</v>
      </c>
      <c r="D401" s="71">
        <v>22108100</v>
      </c>
      <c r="E401" s="66" t="s">
        <v>81</v>
      </c>
      <c r="F401" s="16">
        <f t="shared" si="12"/>
        <v>612</v>
      </c>
      <c r="G401" s="67" cm="1">
        <f t="array" ref="G401">INDEX($B$5:$B$1012, F401)</f>
        <v>41850</v>
      </c>
      <c r="H401" s="69" cm="1">
        <f t="array" ref="H401">INDEX($C$5:$C$1012, F401)</f>
        <v>43.578499999999998</v>
      </c>
      <c r="I401" s="70" cm="1">
        <f t="array" ref="I401">INDEX($D$5:$D$1012, F401)</f>
        <v>31918500</v>
      </c>
    </row>
    <row r="402" spans="2:9" x14ac:dyDescent="0.2">
      <c r="B402" s="62">
        <v>42160</v>
      </c>
      <c r="C402" s="72">
        <v>46.14</v>
      </c>
      <c r="D402" s="71">
        <v>25434870</v>
      </c>
      <c r="E402" s="66" t="s">
        <v>81</v>
      </c>
      <c r="F402" s="16">
        <f t="shared" si="12"/>
        <v>611</v>
      </c>
      <c r="G402" s="67" cm="1">
        <f t="array" ref="G402">INDEX($B$5:$B$1012, F402)</f>
        <v>41851</v>
      </c>
      <c r="H402" s="69" cm="1">
        <f t="array" ref="H402">INDEX($C$5:$C$1012, F402)</f>
        <v>43.16</v>
      </c>
      <c r="I402" s="70" cm="1">
        <f t="array" ref="I402">INDEX($D$5:$D$1012, F402)</f>
        <v>31527670</v>
      </c>
    </row>
    <row r="403" spans="2:9" x14ac:dyDescent="0.2">
      <c r="B403" s="62">
        <v>42159</v>
      </c>
      <c r="C403" s="72">
        <v>46.36</v>
      </c>
      <c r="D403" s="71">
        <v>27474500</v>
      </c>
      <c r="E403" s="66" t="s">
        <v>81</v>
      </c>
      <c r="F403" s="16">
        <f t="shared" si="12"/>
        <v>610</v>
      </c>
      <c r="G403" s="67" cm="1">
        <f t="array" ref="G403">INDEX($B$5:$B$1012, F403)</f>
        <v>41852</v>
      </c>
      <c r="H403" s="69" cm="1">
        <f t="array" ref="H403">INDEX($C$5:$C$1012, F403)</f>
        <v>42.86</v>
      </c>
      <c r="I403" s="70" cm="1">
        <f t="array" ref="I403">INDEX($D$5:$D$1012, F403)</f>
        <v>30926280</v>
      </c>
    </row>
    <row r="404" spans="2:9" x14ac:dyDescent="0.2">
      <c r="B404" s="62">
        <v>42158</v>
      </c>
      <c r="C404" s="72">
        <v>46.85</v>
      </c>
      <c r="D404" s="71">
        <v>28000370</v>
      </c>
      <c r="E404" s="66" t="s">
        <v>81</v>
      </c>
      <c r="F404" s="16">
        <f t="shared" si="12"/>
        <v>609</v>
      </c>
      <c r="G404" s="67" cm="1">
        <f t="array" ref="G404">INDEX($B$5:$B$1012, F404)</f>
        <v>41855</v>
      </c>
      <c r="H404" s="69" cm="1">
        <f t="array" ref="H404">INDEX($C$5:$C$1012, F404)</f>
        <v>43.37</v>
      </c>
      <c r="I404" s="70" cm="1">
        <f t="array" ref="I404">INDEX($D$5:$D$1012, F404)</f>
        <v>34200470</v>
      </c>
    </row>
    <row r="405" spans="2:9" x14ac:dyDescent="0.2">
      <c r="B405" s="62">
        <v>42157</v>
      </c>
      <c r="C405" s="72">
        <v>46.92</v>
      </c>
      <c r="D405" s="71">
        <v>21484660</v>
      </c>
      <c r="E405" s="66" t="s">
        <v>81</v>
      </c>
      <c r="F405" s="16">
        <f t="shared" si="12"/>
        <v>608</v>
      </c>
      <c r="G405" s="67" cm="1">
        <f t="array" ref="G405">INDEX($B$5:$B$1012, F405)</f>
        <v>41856</v>
      </c>
      <c r="H405" s="69" cm="1">
        <f t="array" ref="H405">INDEX($C$5:$C$1012, F405)</f>
        <v>43.08</v>
      </c>
      <c r="I405" s="70" cm="1">
        <f t="array" ref="I405">INDEX($D$5:$D$1012, F405)</f>
        <v>26258880</v>
      </c>
    </row>
    <row r="406" spans="2:9" x14ac:dyDescent="0.2">
      <c r="B406" s="62">
        <v>42156</v>
      </c>
      <c r="C406" s="72">
        <v>47.23</v>
      </c>
      <c r="D406" s="71">
        <v>28610080</v>
      </c>
      <c r="E406" s="66" t="s">
        <v>81</v>
      </c>
      <c r="F406" s="16">
        <f t="shared" si="12"/>
        <v>607</v>
      </c>
      <c r="G406" s="67" cm="1">
        <f t="array" ref="G406">INDEX($B$5:$B$1012, F406)</f>
        <v>41857</v>
      </c>
      <c r="H406" s="69" cm="1">
        <f t="array" ref="H406">INDEX($C$5:$C$1012, F406)</f>
        <v>42.74</v>
      </c>
      <c r="I406" s="70" cm="1">
        <f t="array" ref="I406">INDEX($D$5:$D$1012, F406)</f>
        <v>24625300</v>
      </c>
    </row>
    <row r="407" spans="2:9" x14ac:dyDescent="0.2">
      <c r="B407" s="62">
        <v>42153</v>
      </c>
      <c r="C407" s="72">
        <v>46.86</v>
      </c>
      <c r="D407" s="71">
        <v>36497290</v>
      </c>
      <c r="E407" s="66" t="s">
        <v>81</v>
      </c>
      <c r="F407" s="16">
        <f t="shared" si="12"/>
        <v>606</v>
      </c>
      <c r="G407" s="67" cm="1">
        <f t="array" ref="G407">INDEX($B$5:$B$1012, F407)</f>
        <v>41858</v>
      </c>
      <c r="H407" s="69" cm="1">
        <f t="array" ref="H407">INDEX($C$5:$C$1012, F407)</f>
        <v>43.23</v>
      </c>
      <c r="I407" s="70" cm="1">
        <f t="array" ref="I407">INDEX($D$5:$D$1012, F407)</f>
        <v>30300560</v>
      </c>
    </row>
    <row r="408" spans="2:9" x14ac:dyDescent="0.2">
      <c r="B408" s="62">
        <v>42152</v>
      </c>
      <c r="C408" s="72">
        <v>47.45</v>
      </c>
      <c r="D408" s="71">
        <v>19282810</v>
      </c>
      <c r="E408" s="66" t="s">
        <v>81</v>
      </c>
      <c r="F408" s="16">
        <f t="shared" si="12"/>
        <v>605</v>
      </c>
      <c r="G408" s="67" cm="1">
        <f t="array" ref="G408">INDEX($B$5:$B$1012, F408)</f>
        <v>41859</v>
      </c>
      <c r="H408" s="69" cm="1">
        <f t="array" ref="H408">INDEX($C$5:$C$1012, F408)</f>
        <v>43.2</v>
      </c>
      <c r="I408" s="70" cm="1">
        <f t="array" ref="I408">INDEX($D$5:$D$1012, F408)</f>
        <v>28942570</v>
      </c>
    </row>
    <row r="409" spans="2:9" x14ac:dyDescent="0.2">
      <c r="B409" s="62">
        <v>42151</v>
      </c>
      <c r="C409" s="72">
        <v>47.61</v>
      </c>
      <c r="D409" s="71">
        <v>27333730</v>
      </c>
      <c r="E409" s="66" t="s">
        <v>81</v>
      </c>
      <c r="F409" s="16">
        <f t="shared" si="12"/>
        <v>604</v>
      </c>
      <c r="G409" s="67" cm="1">
        <f t="array" ref="G409">INDEX($B$5:$B$1012, F409)</f>
        <v>41862</v>
      </c>
      <c r="H409" s="69" cm="1">
        <f t="array" ref="H409">INDEX($C$5:$C$1012, F409)</f>
        <v>43.2</v>
      </c>
      <c r="I409" s="70" cm="1">
        <f t="array" ref="I409">INDEX($D$5:$D$1012, F409)</f>
        <v>19829060</v>
      </c>
    </row>
    <row r="410" spans="2:9" x14ac:dyDescent="0.2">
      <c r="B410" s="62">
        <v>42150</v>
      </c>
      <c r="C410" s="72">
        <v>46.59</v>
      </c>
      <c r="D410" s="71">
        <v>29556430</v>
      </c>
      <c r="E410" s="66" t="s">
        <v>81</v>
      </c>
      <c r="F410" s="16">
        <f t="shared" si="12"/>
        <v>603</v>
      </c>
      <c r="G410" s="67" cm="1">
        <f t="array" ref="G410">INDEX($B$5:$B$1012, F410)</f>
        <v>41863</v>
      </c>
      <c r="H410" s="69" cm="1">
        <f t="array" ref="H410">INDEX($C$5:$C$1012, F410)</f>
        <v>43.52</v>
      </c>
      <c r="I410" s="70" cm="1">
        <f t="array" ref="I410">INDEX($D$5:$D$1012, F410)</f>
        <v>21422980</v>
      </c>
    </row>
    <row r="411" spans="2:9" x14ac:dyDescent="0.2">
      <c r="B411" s="62">
        <v>42146</v>
      </c>
      <c r="C411" s="72">
        <v>46.9</v>
      </c>
      <c r="D411" s="71">
        <v>25700240</v>
      </c>
      <c r="E411" s="66" t="s">
        <v>81</v>
      </c>
      <c r="F411" s="16">
        <f t="shared" si="12"/>
        <v>602</v>
      </c>
      <c r="G411" s="67" cm="1">
        <f t="array" ref="G411">INDEX($B$5:$B$1012, F411)</f>
        <v>41864</v>
      </c>
      <c r="H411" s="69" cm="1">
        <f t="array" ref="H411">INDEX($C$5:$C$1012, F411)</f>
        <v>44.08</v>
      </c>
      <c r="I411" s="70" cm="1">
        <f t="array" ref="I411">INDEX($D$5:$D$1012, F411)</f>
        <v>22851140</v>
      </c>
    </row>
    <row r="412" spans="2:9" x14ac:dyDescent="0.2">
      <c r="B412" s="62">
        <v>42145</v>
      </c>
      <c r="C412" s="72">
        <v>47.42</v>
      </c>
      <c r="D412" s="71">
        <v>22399100</v>
      </c>
      <c r="E412" s="66" t="s">
        <v>81</v>
      </c>
      <c r="F412" s="16">
        <f t="shared" si="12"/>
        <v>601</v>
      </c>
      <c r="G412" s="67" cm="1">
        <f t="array" ref="G412">INDEX($B$5:$B$1012, F412)</f>
        <v>41865</v>
      </c>
      <c r="H412" s="69" cm="1">
        <f t="array" ref="H412">INDEX($C$5:$C$1012, F412)</f>
        <v>44.27</v>
      </c>
      <c r="I412" s="70" cm="1">
        <f t="array" ref="I412">INDEX($D$5:$D$1012, F412)</f>
        <v>19304230</v>
      </c>
    </row>
    <row r="413" spans="2:9" x14ac:dyDescent="0.2">
      <c r="B413" s="62">
        <v>42144</v>
      </c>
      <c r="C413" s="72">
        <v>47.58</v>
      </c>
      <c r="D413" s="71">
        <v>25035330</v>
      </c>
      <c r="E413" s="66" t="s">
        <v>81</v>
      </c>
      <c r="F413" s="16">
        <f t="shared" si="12"/>
        <v>600</v>
      </c>
      <c r="G413" s="67" cm="1">
        <f t="array" ref="G413">INDEX($B$5:$B$1012, F413)</f>
        <v>41866</v>
      </c>
      <c r="H413" s="69" cm="1">
        <f t="array" ref="H413">INDEX($C$5:$C$1012, F413)</f>
        <v>44.79</v>
      </c>
      <c r="I413" s="70" cm="1">
        <f t="array" ref="I413">INDEX($D$5:$D$1012, F413)</f>
        <v>41573360</v>
      </c>
    </row>
    <row r="414" spans="2:9" x14ac:dyDescent="0.2">
      <c r="B414" s="62">
        <v>42143</v>
      </c>
      <c r="C414" s="72">
        <v>47.58</v>
      </c>
      <c r="D414" s="71">
        <v>28181300</v>
      </c>
      <c r="E414" s="66" t="s">
        <v>81</v>
      </c>
      <c r="F414" s="16">
        <f t="shared" si="12"/>
        <v>599</v>
      </c>
      <c r="G414" s="67" cm="1">
        <f t="array" ref="G414">INDEX($B$5:$B$1012, F414)</f>
        <v>41869</v>
      </c>
      <c r="H414" s="69" cm="1">
        <f t="array" ref="H414">INDEX($C$5:$C$1012, F414)</f>
        <v>45.11</v>
      </c>
      <c r="I414" s="70" cm="1">
        <f t="array" ref="I414">INDEX($D$5:$D$1012, F414)</f>
        <v>26882850</v>
      </c>
    </row>
    <row r="415" spans="2:9" x14ac:dyDescent="0.2">
      <c r="B415" s="62">
        <v>42142</v>
      </c>
      <c r="C415" s="72">
        <v>48.01</v>
      </c>
      <c r="D415" s="71">
        <v>23918020</v>
      </c>
      <c r="E415" s="66" t="s">
        <v>81</v>
      </c>
      <c r="F415" s="16">
        <f t="shared" si="12"/>
        <v>598</v>
      </c>
      <c r="G415" s="67" cm="1">
        <f t="array" ref="G415">INDEX($B$5:$B$1012, F415)</f>
        <v>41870</v>
      </c>
      <c r="H415" s="69" cm="1">
        <f t="array" ref="H415">INDEX($C$5:$C$1012, F415)</f>
        <v>45.33</v>
      </c>
      <c r="I415" s="70" cm="1">
        <f t="array" ref="I415">INDEX($D$5:$D$1012, F415)</f>
        <v>28087670</v>
      </c>
    </row>
    <row r="416" spans="2:9" x14ac:dyDescent="0.2">
      <c r="B416" s="62">
        <v>42139</v>
      </c>
      <c r="C416" s="72">
        <v>48.295000000000002</v>
      </c>
      <c r="D416" s="71">
        <v>28628370</v>
      </c>
      <c r="E416" s="66" t="s">
        <v>81</v>
      </c>
      <c r="F416" s="16">
        <f t="shared" si="12"/>
        <v>597</v>
      </c>
      <c r="G416" s="67" cm="1">
        <f t="array" ref="G416">INDEX($B$5:$B$1012, F416)</f>
        <v>41871</v>
      </c>
      <c r="H416" s="69" cm="1">
        <f t="array" ref="H416">INDEX($C$5:$C$1012, F416)</f>
        <v>44.95</v>
      </c>
      <c r="I416" s="70" cm="1">
        <f t="array" ref="I416">INDEX($D$5:$D$1012, F416)</f>
        <v>24747360</v>
      </c>
    </row>
    <row r="417" spans="2:9" x14ac:dyDescent="0.2">
      <c r="B417" s="62">
        <v>42138</v>
      </c>
      <c r="C417" s="72">
        <v>48.72</v>
      </c>
      <c r="D417" s="71">
        <v>32956260</v>
      </c>
      <c r="E417" s="66" t="s">
        <v>81</v>
      </c>
      <c r="F417" s="16">
        <f t="shared" si="12"/>
        <v>596</v>
      </c>
      <c r="G417" s="67" cm="1">
        <f t="array" ref="G417">INDEX($B$5:$B$1012, F417)</f>
        <v>41872</v>
      </c>
      <c r="H417" s="69" cm="1">
        <f t="array" ref="H417">INDEX($C$5:$C$1012, F417)</f>
        <v>45.22</v>
      </c>
      <c r="I417" s="70" cm="1">
        <f t="array" ref="I417">INDEX($D$5:$D$1012, F417)</f>
        <v>22272010</v>
      </c>
    </row>
    <row r="418" spans="2:9" x14ac:dyDescent="0.2">
      <c r="B418" s="62">
        <v>42137</v>
      </c>
      <c r="C418" s="72">
        <v>47.625</v>
      </c>
      <c r="D418" s="71">
        <v>34182750</v>
      </c>
      <c r="E418" s="66" t="s">
        <v>81</v>
      </c>
      <c r="F418" s="16">
        <f t="shared" si="12"/>
        <v>595</v>
      </c>
      <c r="G418" s="67" cm="1">
        <f t="array" ref="G418">INDEX($B$5:$B$1012, F418)</f>
        <v>41873</v>
      </c>
      <c r="H418" s="69" cm="1">
        <f t="array" ref="H418">INDEX($C$5:$C$1012, F418)</f>
        <v>45.15</v>
      </c>
      <c r="I418" s="70" cm="1">
        <f t="array" ref="I418">INDEX($D$5:$D$1012, F418)</f>
        <v>18293690</v>
      </c>
    </row>
    <row r="419" spans="2:9" x14ac:dyDescent="0.2">
      <c r="B419" s="62">
        <v>42136</v>
      </c>
      <c r="C419" s="72">
        <v>47.35</v>
      </c>
      <c r="D419" s="71">
        <v>29927160</v>
      </c>
      <c r="E419" s="66" t="s">
        <v>81</v>
      </c>
      <c r="F419" s="16">
        <f t="shared" si="12"/>
        <v>594</v>
      </c>
      <c r="G419" s="67" cm="1">
        <f t="array" ref="G419">INDEX($B$5:$B$1012, F419)</f>
        <v>41876</v>
      </c>
      <c r="H419" s="69" cm="1">
        <f t="array" ref="H419">INDEX($C$5:$C$1012, F419)</f>
        <v>45.17</v>
      </c>
      <c r="I419" s="70" cm="1">
        <f t="array" ref="I419">INDEX($D$5:$D$1012, F419)</f>
        <v>16815800</v>
      </c>
    </row>
    <row r="420" spans="2:9" x14ac:dyDescent="0.2">
      <c r="B420" s="62">
        <v>42135</v>
      </c>
      <c r="C420" s="72">
        <v>47.37</v>
      </c>
      <c r="D420" s="71">
        <v>24608910</v>
      </c>
      <c r="E420" s="66" t="s">
        <v>81</v>
      </c>
      <c r="F420" s="16">
        <f t="shared" si="12"/>
        <v>593</v>
      </c>
      <c r="G420" s="67" cm="1">
        <f t="array" ref="G420">INDEX($B$5:$B$1012, F420)</f>
        <v>41877</v>
      </c>
      <c r="H420" s="69" cm="1">
        <f t="array" ref="H420">INDEX($C$5:$C$1012, F420)</f>
        <v>45.005000000000003</v>
      </c>
      <c r="I420" s="70" cm="1">
        <f t="array" ref="I420">INDEX($D$5:$D$1012, F420)</f>
        <v>14850670</v>
      </c>
    </row>
    <row r="421" spans="2:9" x14ac:dyDescent="0.2">
      <c r="B421" s="62">
        <v>42132</v>
      </c>
      <c r="C421" s="72">
        <v>47.75</v>
      </c>
      <c r="D421" s="71">
        <v>35060430</v>
      </c>
      <c r="E421" s="66" t="s">
        <v>81</v>
      </c>
      <c r="F421" s="16">
        <f t="shared" si="12"/>
        <v>592</v>
      </c>
      <c r="G421" s="67" cm="1">
        <f t="array" ref="G421">INDEX($B$5:$B$1012, F421)</f>
        <v>41878</v>
      </c>
      <c r="H421" s="69" cm="1">
        <f t="array" ref="H421">INDEX($C$5:$C$1012, F421)</f>
        <v>44.87</v>
      </c>
      <c r="I421" s="70" cm="1">
        <f t="array" ref="I421">INDEX($D$5:$D$1012, F421)</f>
        <v>20822900</v>
      </c>
    </row>
    <row r="422" spans="2:9" x14ac:dyDescent="0.2">
      <c r="B422" s="62">
        <v>42131</v>
      </c>
      <c r="C422" s="72">
        <v>46.7</v>
      </c>
      <c r="D422" s="71">
        <v>32940820</v>
      </c>
      <c r="E422" s="66" t="s">
        <v>81</v>
      </c>
      <c r="F422" s="16">
        <f t="shared" si="12"/>
        <v>591</v>
      </c>
      <c r="G422" s="67" cm="1">
        <f t="array" ref="G422">INDEX($B$5:$B$1012, F422)</f>
        <v>41879</v>
      </c>
      <c r="H422" s="69" cm="1">
        <f t="array" ref="H422">INDEX($C$5:$C$1012, F422)</f>
        <v>44.88</v>
      </c>
      <c r="I422" s="70" cm="1">
        <f t="array" ref="I422">INDEX($D$5:$D$1012, F422)</f>
        <v>17656590</v>
      </c>
    </row>
    <row r="423" spans="2:9" x14ac:dyDescent="0.2">
      <c r="B423" s="62">
        <v>42130</v>
      </c>
      <c r="C423" s="72">
        <v>46.28</v>
      </c>
      <c r="D423" s="71">
        <v>52416760</v>
      </c>
      <c r="E423" s="66" t="s">
        <v>81</v>
      </c>
      <c r="F423" s="16">
        <f t="shared" si="12"/>
        <v>590</v>
      </c>
      <c r="G423" s="67" cm="1">
        <f t="array" ref="G423">INDEX($B$5:$B$1012, F423)</f>
        <v>41880</v>
      </c>
      <c r="H423" s="69" cm="1">
        <f t="array" ref="H423">INDEX($C$5:$C$1012, F423)</f>
        <v>45.43</v>
      </c>
      <c r="I423" s="70" cm="1">
        <f t="array" ref="I423">INDEX($D$5:$D$1012, F423)</f>
        <v>21577940</v>
      </c>
    </row>
    <row r="424" spans="2:9" x14ac:dyDescent="0.2">
      <c r="B424" s="62">
        <v>42129</v>
      </c>
      <c r="C424" s="72">
        <v>47.6</v>
      </c>
      <c r="D424" s="71">
        <v>50364250</v>
      </c>
      <c r="E424" s="66" t="s">
        <v>81</v>
      </c>
      <c r="F424" s="16">
        <f t="shared" si="12"/>
        <v>589</v>
      </c>
      <c r="G424" s="67" cm="1">
        <f t="array" ref="G424">INDEX($B$5:$B$1012, F424)</f>
        <v>41884</v>
      </c>
      <c r="H424" s="69" cm="1">
        <f t="array" ref="H424">INDEX($C$5:$C$1012, F424)</f>
        <v>45.09</v>
      </c>
      <c r="I424" s="70" cm="1">
        <f t="array" ref="I424">INDEX($D$5:$D$1012, F424)</f>
        <v>22956270</v>
      </c>
    </row>
    <row r="425" spans="2:9" x14ac:dyDescent="0.2">
      <c r="B425" s="62">
        <v>42128</v>
      </c>
      <c r="C425" s="72">
        <v>48.24</v>
      </c>
      <c r="D425" s="71">
        <v>33986240</v>
      </c>
      <c r="E425" s="66" t="s">
        <v>81</v>
      </c>
      <c r="F425" s="16">
        <f t="shared" si="12"/>
        <v>588</v>
      </c>
      <c r="G425" s="67" cm="1">
        <f t="array" ref="G425">INDEX($B$5:$B$1012, F425)</f>
        <v>41885</v>
      </c>
      <c r="H425" s="69" cm="1">
        <f t="array" ref="H425">INDEX($C$5:$C$1012, F425)</f>
        <v>44.96</v>
      </c>
      <c r="I425" s="70" cm="1">
        <f t="array" ref="I425">INDEX($D$5:$D$1012, F425)</f>
        <v>33662430</v>
      </c>
    </row>
    <row r="426" spans="2:9" x14ac:dyDescent="0.2">
      <c r="B426" s="62">
        <v>42125</v>
      </c>
      <c r="C426" s="72">
        <v>48.655000000000001</v>
      </c>
      <c r="D426" s="71">
        <v>36432670</v>
      </c>
      <c r="E426" s="66" t="s">
        <v>81</v>
      </c>
      <c r="F426" s="16">
        <f t="shared" si="12"/>
        <v>587</v>
      </c>
      <c r="G426" s="67" cm="1">
        <f t="array" ref="G426">INDEX($B$5:$B$1012, F426)</f>
        <v>41886</v>
      </c>
      <c r="H426" s="69" cm="1">
        <f t="array" ref="H426">INDEX($C$5:$C$1012, F426)</f>
        <v>45.26</v>
      </c>
      <c r="I426" s="70" cm="1">
        <f t="array" ref="I426">INDEX($D$5:$D$1012, F426)</f>
        <v>26475110</v>
      </c>
    </row>
    <row r="427" spans="2:9" x14ac:dyDescent="0.2">
      <c r="B427" s="62">
        <v>42124</v>
      </c>
      <c r="C427" s="72">
        <v>48.64</v>
      </c>
      <c r="D427" s="71">
        <v>64127280</v>
      </c>
      <c r="E427" s="66" t="s">
        <v>81</v>
      </c>
      <c r="F427" s="16">
        <f t="shared" si="12"/>
        <v>586</v>
      </c>
      <c r="G427" s="67" cm="1">
        <f t="array" ref="G427">INDEX($B$5:$B$1012, F427)</f>
        <v>41887</v>
      </c>
      <c r="H427" s="69" cm="1">
        <f t="array" ref="H427">INDEX($C$5:$C$1012, F427)</f>
        <v>45.91</v>
      </c>
      <c r="I427" s="70" cm="1">
        <f t="array" ref="I427">INDEX($D$5:$D$1012, F427)</f>
        <v>36687170</v>
      </c>
    </row>
    <row r="428" spans="2:9" x14ac:dyDescent="0.2">
      <c r="B428" s="62">
        <v>42123</v>
      </c>
      <c r="C428" s="72">
        <v>49.06</v>
      </c>
      <c r="D428" s="71">
        <v>47665440</v>
      </c>
      <c r="E428" s="66" t="s">
        <v>81</v>
      </c>
      <c r="F428" s="16">
        <f t="shared" si="12"/>
        <v>585</v>
      </c>
      <c r="G428" s="67" cm="1">
        <f t="array" ref="G428">INDEX($B$5:$B$1012, F428)</f>
        <v>41890</v>
      </c>
      <c r="H428" s="69" cm="1">
        <f t="array" ref="H428">INDEX($C$5:$C$1012, F428)</f>
        <v>46.47</v>
      </c>
      <c r="I428" s="70" cm="1">
        <f t="array" ref="I428">INDEX($D$5:$D$1012, F428)</f>
        <v>45709750</v>
      </c>
    </row>
    <row r="429" spans="2:9" x14ac:dyDescent="0.2">
      <c r="B429" s="62">
        <v>42122</v>
      </c>
      <c r="C429" s="72">
        <v>49.155000000000001</v>
      </c>
      <c r="D429" s="71">
        <v>59860670</v>
      </c>
      <c r="E429" s="66" t="s">
        <v>81</v>
      </c>
      <c r="F429" s="16">
        <f t="shared" si="12"/>
        <v>584</v>
      </c>
      <c r="G429" s="67" cm="1">
        <f t="array" ref="G429">INDEX($B$5:$B$1012, F429)</f>
        <v>41891</v>
      </c>
      <c r="H429" s="69" cm="1">
        <f t="array" ref="H429">INDEX($C$5:$C$1012, F429)</f>
        <v>46.76</v>
      </c>
      <c r="I429" s="70" cm="1">
        <f t="array" ref="I429">INDEX($D$5:$D$1012, F429)</f>
        <v>40248050</v>
      </c>
    </row>
    <row r="430" spans="2:9" x14ac:dyDescent="0.2">
      <c r="B430" s="62">
        <v>42121</v>
      </c>
      <c r="C430" s="72">
        <v>48.03</v>
      </c>
      <c r="D430" s="71">
        <v>58950840</v>
      </c>
      <c r="E430" s="66" t="s">
        <v>81</v>
      </c>
      <c r="F430" s="16">
        <f t="shared" si="12"/>
        <v>583</v>
      </c>
      <c r="G430" s="67" cm="1">
        <f t="array" ref="G430">INDEX($B$5:$B$1012, F430)</f>
        <v>41892</v>
      </c>
      <c r="H430" s="69" cm="1">
        <f t="array" ref="H430">INDEX($C$5:$C$1012, F430)</f>
        <v>46.84</v>
      </c>
      <c r="I430" s="70" cm="1">
        <f t="array" ref="I430">INDEX($D$5:$D$1012, F430)</f>
        <v>27297820</v>
      </c>
    </row>
    <row r="431" spans="2:9" x14ac:dyDescent="0.2">
      <c r="B431" s="62">
        <v>42118</v>
      </c>
      <c r="C431" s="72">
        <v>47.87</v>
      </c>
      <c r="D431" s="71">
        <v>130885200</v>
      </c>
      <c r="E431" s="66" t="s">
        <v>81</v>
      </c>
      <c r="F431" s="16">
        <f t="shared" si="12"/>
        <v>582</v>
      </c>
      <c r="G431" s="67" cm="1">
        <f t="array" ref="G431">INDEX($B$5:$B$1012, F431)</f>
        <v>41893</v>
      </c>
      <c r="H431" s="69" cm="1">
        <f t="array" ref="H431">INDEX($C$5:$C$1012, F431)</f>
        <v>47</v>
      </c>
      <c r="I431" s="70" cm="1">
        <f t="array" ref="I431">INDEX($D$5:$D$1012, F431)</f>
        <v>29201070</v>
      </c>
    </row>
    <row r="432" spans="2:9" x14ac:dyDescent="0.2">
      <c r="B432" s="62">
        <v>42117</v>
      </c>
      <c r="C432" s="72">
        <v>43.34</v>
      </c>
      <c r="D432" s="71">
        <v>45445510</v>
      </c>
      <c r="E432" s="66" t="s">
        <v>81</v>
      </c>
      <c r="F432" s="16">
        <f t="shared" si="12"/>
        <v>581</v>
      </c>
      <c r="G432" s="67" cm="1">
        <f t="array" ref="G432">INDEX($B$5:$B$1012, F432)</f>
        <v>41894</v>
      </c>
      <c r="H432" s="69" cm="1">
        <f t="array" ref="H432">INDEX($C$5:$C$1012, F432)</f>
        <v>46.695</v>
      </c>
      <c r="I432" s="70" cm="1">
        <f t="array" ref="I432">INDEX($D$5:$D$1012, F432)</f>
        <v>38224850</v>
      </c>
    </row>
    <row r="433" spans="2:9" x14ac:dyDescent="0.2">
      <c r="B433" s="62">
        <v>42116</v>
      </c>
      <c r="C433" s="72">
        <v>42.984999999999999</v>
      </c>
      <c r="D433" s="71">
        <v>25032050</v>
      </c>
      <c r="E433" s="66" t="s">
        <v>81</v>
      </c>
      <c r="F433" s="16">
        <f t="shared" si="12"/>
        <v>580</v>
      </c>
      <c r="G433" s="67" cm="1">
        <f t="array" ref="G433">INDEX($B$5:$B$1012, F433)</f>
        <v>41897</v>
      </c>
      <c r="H433" s="69" cm="1">
        <f t="array" ref="H433">INDEX($C$5:$C$1012, F433)</f>
        <v>46.24</v>
      </c>
      <c r="I433" s="70" cm="1">
        <f t="array" ref="I433">INDEX($D$5:$D$1012, F433)</f>
        <v>37630230</v>
      </c>
    </row>
    <row r="434" spans="2:9" x14ac:dyDescent="0.2">
      <c r="B434" s="62">
        <v>42115</v>
      </c>
      <c r="C434" s="72">
        <v>42.634999999999998</v>
      </c>
      <c r="D434" s="71">
        <v>26004920</v>
      </c>
      <c r="E434" s="66" t="s">
        <v>81</v>
      </c>
      <c r="F434" s="16">
        <f t="shared" si="12"/>
        <v>579</v>
      </c>
      <c r="G434" s="67" cm="1">
        <f t="array" ref="G434">INDEX($B$5:$B$1012, F434)</f>
        <v>41898</v>
      </c>
      <c r="H434" s="69" cm="1">
        <f t="array" ref="H434">INDEX($C$5:$C$1012, F434)</f>
        <v>46.76</v>
      </c>
      <c r="I434" s="70" cm="1">
        <f t="array" ref="I434">INDEX($D$5:$D$1012, F434)</f>
        <v>27865200</v>
      </c>
    </row>
    <row r="435" spans="2:9" x14ac:dyDescent="0.2">
      <c r="B435" s="62">
        <v>42114</v>
      </c>
      <c r="C435" s="72">
        <v>42.905000000000001</v>
      </c>
      <c r="D435" s="71">
        <v>46051240</v>
      </c>
      <c r="E435" s="66" t="s">
        <v>81</v>
      </c>
      <c r="F435" s="16">
        <f t="shared" si="12"/>
        <v>578</v>
      </c>
      <c r="G435" s="67" cm="1">
        <f t="array" ref="G435">INDEX($B$5:$B$1012, F435)</f>
        <v>41899</v>
      </c>
      <c r="H435" s="69" cm="1">
        <f t="array" ref="H435">INDEX($C$5:$C$1012, F435)</f>
        <v>46.52</v>
      </c>
      <c r="I435" s="70" cm="1">
        <f t="array" ref="I435">INDEX($D$5:$D$1012, F435)</f>
        <v>38247550</v>
      </c>
    </row>
    <row r="436" spans="2:9" x14ac:dyDescent="0.2">
      <c r="B436" s="62">
        <v>42111</v>
      </c>
      <c r="C436" s="72">
        <v>41.615000000000002</v>
      </c>
      <c r="D436" s="71">
        <v>41912450</v>
      </c>
      <c r="E436" s="66" t="s">
        <v>81</v>
      </c>
      <c r="F436" s="16">
        <f t="shared" si="12"/>
        <v>577</v>
      </c>
      <c r="G436" s="67" cm="1">
        <f t="array" ref="G436">INDEX($B$5:$B$1012, F436)</f>
        <v>41900</v>
      </c>
      <c r="H436" s="69" cm="1">
        <f t="array" ref="H436">INDEX($C$5:$C$1012, F436)</f>
        <v>46.68</v>
      </c>
      <c r="I436" s="70" cm="1">
        <f t="array" ref="I436">INDEX($D$5:$D$1012, F436)</f>
        <v>35493560</v>
      </c>
    </row>
    <row r="437" spans="2:9" x14ac:dyDescent="0.2">
      <c r="B437" s="62">
        <v>42110</v>
      </c>
      <c r="C437" s="72">
        <v>42.16</v>
      </c>
      <c r="D437" s="71">
        <v>22425300</v>
      </c>
      <c r="E437" s="66" t="s">
        <v>81</v>
      </c>
      <c r="F437" s="16">
        <f t="shared" si="12"/>
        <v>576</v>
      </c>
      <c r="G437" s="67" cm="1">
        <f t="array" ref="G437">INDEX($B$5:$B$1012, F437)</f>
        <v>41901</v>
      </c>
      <c r="H437" s="69" cm="1">
        <f t="array" ref="H437">INDEX($C$5:$C$1012, F437)</f>
        <v>47.52</v>
      </c>
      <c r="I437" s="70" cm="1">
        <f t="array" ref="I437">INDEX($D$5:$D$1012, F437)</f>
        <v>202514100</v>
      </c>
    </row>
    <row r="438" spans="2:9" x14ac:dyDescent="0.2">
      <c r="B438" s="62">
        <v>42109</v>
      </c>
      <c r="C438" s="72">
        <v>42.255000000000003</v>
      </c>
      <c r="D438" s="71">
        <v>27307270</v>
      </c>
      <c r="E438" s="66" t="s">
        <v>81</v>
      </c>
      <c r="F438" s="16">
        <f t="shared" si="12"/>
        <v>575</v>
      </c>
      <c r="G438" s="67" cm="1">
        <f t="array" ref="G438">INDEX($B$5:$B$1012, F438)</f>
        <v>41904</v>
      </c>
      <c r="H438" s="69" cm="1">
        <f t="array" ref="H438">INDEX($C$5:$C$1012, F438)</f>
        <v>47.06</v>
      </c>
      <c r="I438" s="70" cm="1">
        <f t="array" ref="I438">INDEX($D$5:$D$1012, F438)</f>
        <v>38655550</v>
      </c>
    </row>
    <row r="439" spans="2:9" x14ac:dyDescent="0.2">
      <c r="B439" s="62">
        <v>42108</v>
      </c>
      <c r="C439" s="72">
        <v>41.65</v>
      </c>
      <c r="D439" s="71">
        <v>24238760</v>
      </c>
      <c r="E439" s="66" t="s">
        <v>81</v>
      </c>
      <c r="F439" s="16">
        <f t="shared" si="12"/>
        <v>574</v>
      </c>
      <c r="G439" s="67" cm="1">
        <f t="array" ref="G439">INDEX($B$5:$B$1012, F439)</f>
        <v>41905</v>
      </c>
      <c r="H439" s="69" cm="1">
        <f t="array" ref="H439">INDEX($C$5:$C$1012, F439)</f>
        <v>46.56</v>
      </c>
      <c r="I439" s="70" cm="1">
        <f t="array" ref="I439">INDEX($D$5:$D$1012, F439)</f>
        <v>33386790</v>
      </c>
    </row>
    <row r="440" spans="2:9" x14ac:dyDescent="0.2">
      <c r="B440" s="62">
        <v>42107</v>
      </c>
      <c r="C440" s="72">
        <v>41.76</v>
      </c>
      <c r="D440" s="71">
        <v>30270750</v>
      </c>
      <c r="E440" s="66" t="s">
        <v>81</v>
      </c>
      <c r="F440" s="16">
        <f t="shared" si="12"/>
        <v>573</v>
      </c>
      <c r="G440" s="67" cm="1">
        <f t="array" ref="G440">INDEX($B$5:$B$1012, F440)</f>
        <v>41906</v>
      </c>
      <c r="H440" s="69" cm="1">
        <f t="array" ref="H440">INDEX($C$5:$C$1012, F440)</f>
        <v>47.08</v>
      </c>
      <c r="I440" s="70" cm="1">
        <f t="array" ref="I440">INDEX($D$5:$D$1012, F440)</f>
        <v>26533890</v>
      </c>
    </row>
    <row r="441" spans="2:9" x14ac:dyDescent="0.2">
      <c r="B441" s="62">
        <v>42104</v>
      </c>
      <c r="C441" s="72">
        <v>41.72</v>
      </c>
      <c r="D441" s="71">
        <v>27856770</v>
      </c>
      <c r="E441" s="66" t="s">
        <v>81</v>
      </c>
      <c r="F441" s="16">
        <f t="shared" si="12"/>
        <v>572</v>
      </c>
      <c r="G441" s="67" cm="1">
        <f t="array" ref="G441">INDEX($B$5:$B$1012, F441)</f>
        <v>41907</v>
      </c>
      <c r="H441" s="69" cm="1">
        <f t="array" ref="H441">INDEX($C$5:$C$1012, F441)</f>
        <v>46.04</v>
      </c>
      <c r="I441" s="70" cm="1">
        <f t="array" ref="I441">INDEX($D$5:$D$1012, F441)</f>
        <v>32927320</v>
      </c>
    </row>
    <row r="442" spans="2:9" x14ac:dyDescent="0.2">
      <c r="B442" s="62">
        <v>42103</v>
      </c>
      <c r="C442" s="72">
        <v>41.48</v>
      </c>
      <c r="D442" s="71">
        <v>25722630</v>
      </c>
      <c r="E442" s="66" t="s">
        <v>81</v>
      </c>
      <c r="F442" s="16">
        <f t="shared" si="12"/>
        <v>571</v>
      </c>
      <c r="G442" s="67" cm="1">
        <f t="array" ref="G442">INDEX($B$5:$B$1012, F442)</f>
        <v>41908</v>
      </c>
      <c r="H442" s="69" cm="1">
        <f t="array" ref="H442">INDEX($C$5:$C$1012, F442)</f>
        <v>46.41</v>
      </c>
      <c r="I442" s="70" cm="1">
        <f t="array" ref="I442">INDEX($D$5:$D$1012, F442)</f>
        <v>27051350</v>
      </c>
    </row>
    <row r="443" spans="2:9" x14ac:dyDescent="0.2">
      <c r="B443" s="62">
        <v>42102</v>
      </c>
      <c r="C443" s="72">
        <v>41.42</v>
      </c>
      <c r="D443" s="71">
        <v>24699710</v>
      </c>
      <c r="E443" s="66" t="s">
        <v>81</v>
      </c>
      <c r="F443" s="16">
        <f t="shared" si="12"/>
        <v>570</v>
      </c>
      <c r="G443" s="67" cm="1">
        <f t="array" ref="G443">INDEX($B$5:$B$1012, F443)</f>
        <v>41911</v>
      </c>
      <c r="H443" s="69" cm="1">
        <f t="array" ref="H443">INDEX($C$5:$C$1012, F443)</f>
        <v>46.44</v>
      </c>
      <c r="I443" s="70" cm="1">
        <f t="array" ref="I443">INDEX($D$5:$D$1012, F443)</f>
        <v>26057810</v>
      </c>
    </row>
    <row r="444" spans="2:9" x14ac:dyDescent="0.2">
      <c r="B444" s="62">
        <v>42101</v>
      </c>
      <c r="C444" s="72">
        <v>41.53</v>
      </c>
      <c r="D444" s="71">
        <v>28808840</v>
      </c>
      <c r="E444" s="66" t="s">
        <v>81</v>
      </c>
      <c r="F444" s="16">
        <f t="shared" si="12"/>
        <v>569</v>
      </c>
      <c r="G444" s="67" cm="1">
        <f t="array" ref="G444">INDEX($B$5:$B$1012, F444)</f>
        <v>41912</v>
      </c>
      <c r="H444" s="69" cm="1">
        <f t="array" ref="H444">INDEX($C$5:$C$1012, F444)</f>
        <v>46.36</v>
      </c>
      <c r="I444" s="70" cm="1">
        <f t="array" ref="I444">INDEX($D$5:$D$1012, F444)</f>
        <v>32996820</v>
      </c>
    </row>
    <row r="445" spans="2:9" x14ac:dyDescent="0.2">
      <c r="B445" s="62">
        <v>42100</v>
      </c>
      <c r="C445" s="72">
        <v>41.545000000000002</v>
      </c>
      <c r="D445" s="71">
        <v>39161760</v>
      </c>
      <c r="E445" s="66" t="s">
        <v>81</v>
      </c>
      <c r="F445" s="16">
        <f t="shared" si="12"/>
        <v>568</v>
      </c>
      <c r="G445" s="67" cm="1">
        <f t="array" ref="G445">INDEX($B$5:$B$1012, F445)</f>
        <v>41913</v>
      </c>
      <c r="H445" s="69" cm="1">
        <f t="array" ref="H445">INDEX($C$5:$C$1012, F445)</f>
        <v>45.9</v>
      </c>
      <c r="I445" s="70" cm="1">
        <f t="array" ref="I445">INDEX($D$5:$D$1012, F445)</f>
        <v>38050210</v>
      </c>
    </row>
    <row r="446" spans="2:9" x14ac:dyDescent="0.2">
      <c r="B446" s="62">
        <v>42096</v>
      </c>
      <c r="C446" s="72">
        <v>40.29</v>
      </c>
      <c r="D446" s="71">
        <v>37483000</v>
      </c>
      <c r="E446" s="66" t="s">
        <v>81</v>
      </c>
      <c r="F446" s="16">
        <f t="shared" si="12"/>
        <v>567</v>
      </c>
      <c r="G446" s="67" cm="1">
        <f t="array" ref="G446">INDEX($B$5:$B$1012, F446)</f>
        <v>41914</v>
      </c>
      <c r="H446" s="69" cm="1">
        <f t="array" ref="H446">INDEX($C$5:$C$1012, F446)</f>
        <v>45.76</v>
      </c>
      <c r="I446" s="70" cm="1">
        <f t="array" ref="I446">INDEX($D$5:$D$1012, F446)</f>
        <v>25297400</v>
      </c>
    </row>
    <row r="447" spans="2:9" x14ac:dyDescent="0.2">
      <c r="B447" s="62">
        <v>42095</v>
      </c>
      <c r="C447" s="72">
        <v>40.72</v>
      </c>
      <c r="D447" s="71">
        <v>36841010</v>
      </c>
      <c r="E447" s="66" t="s">
        <v>81</v>
      </c>
      <c r="F447" s="16">
        <f t="shared" si="12"/>
        <v>566</v>
      </c>
      <c r="G447" s="67" cm="1">
        <f t="array" ref="G447">INDEX($B$5:$B$1012, F447)</f>
        <v>41915</v>
      </c>
      <c r="H447" s="69" cm="1">
        <f t="array" ref="H447">INDEX($C$5:$C$1012, F447)</f>
        <v>46.09</v>
      </c>
      <c r="I447" s="70" cm="1">
        <f t="array" ref="I447">INDEX($D$5:$D$1012, F447)</f>
        <v>32351720</v>
      </c>
    </row>
    <row r="448" spans="2:9" x14ac:dyDescent="0.2">
      <c r="B448" s="62">
        <v>42094</v>
      </c>
      <c r="C448" s="72">
        <v>40.655000000000001</v>
      </c>
      <c r="D448" s="71">
        <v>34884740</v>
      </c>
      <c r="E448" s="66" t="s">
        <v>81</v>
      </c>
      <c r="F448" s="16">
        <f t="shared" si="12"/>
        <v>565</v>
      </c>
      <c r="G448" s="67" cm="1">
        <f t="array" ref="G448">INDEX($B$5:$B$1012, F448)</f>
        <v>41918</v>
      </c>
      <c r="H448" s="69" cm="1">
        <f t="array" ref="H448">INDEX($C$5:$C$1012, F448)</f>
        <v>46.09</v>
      </c>
      <c r="I448" s="70" cm="1">
        <f t="array" ref="I448">INDEX($D$5:$D$1012, F448)</f>
        <v>20532430</v>
      </c>
    </row>
    <row r="449" spans="2:9" x14ac:dyDescent="0.2">
      <c r="B449" s="62">
        <v>42093</v>
      </c>
      <c r="C449" s="72">
        <v>40.96</v>
      </c>
      <c r="D449" s="71">
        <v>34999850</v>
      </c>
      <c r="E449" s="66" t="s">
        <v>81</v>
      </c>
      <c r="F449" s="16">
        <f t="shared" si="12"/>
        <v>564</v>
      </c>
      <c r="G449" s="67" cm="1">
        <f t="array" ref="G449">INDEX($B$5:$B$1012, F449)</f>
        <v>41919</v>
      </c>
      <c r="H449" s="69" cm="1">
        <f t="array" ref="H449">INDEX($C$5:$C$1012, F449)</f>
        <v>45.53</v>
      </c>
      <c r="I449" s="70" cm="1">
        <f t="array" ref="I449">INDEX($D$5:$D$1012, F449)</f>
        <v>25617210</v>
      </c>
    </row>
    <row r="450" spans="2:9" x14ac:dyDescent="0.2">
      <c r="B450" s="62">
        <v>42090</v>
      </c>
      <c r="C450" s="72">
        <v>40.97</v>
      </c>
      <c r="D450" s="71">
        <v>33980410</v>
      </c>
      <c r="E450" s="66" t="s">
        <v>81</v>
      </c>
      <c r="F450" s="16">
        <f t="shared" si="12"/>
        <v>563</v>
      </c>
      <c r="G450" s="67" cm="1">
        <f t="array" ref="G450">INDEX($B$5:$B$1012, F450)</f>
        <v>41920</v>
      </c>
      <c r="H450" s="69" cm="1">
        <f t="array" ref="H450">INDEX($C$5:$C$1012, F450)</f>
        <v>46.78</v>
      </c>
      <c r="I450" s="70" cm="1">
        <f t="array" ref="I450">INDEX($D$5:$D$1012, F450)</f>
        <v>32977510</v>
      </c>
    </row>
    <row r="451" spans="2:9" x14ac:dyDescent="0.2">
      <c r="B451" s="62">
        <v>42089</v>
      </c>
      <c r="C451" s="72">
        <v>41.21</v>
      </c>
      <c r="D451" s="71">
        <v>37483900</v>
      </c>
      <c r="E451" s="66" t="s">
        <v>81</v>
      </c>
      <c r="F451" s="16">
        <f t="shared" si="12"/>
        <v>562</v>
      </c>
      <c r="G451" s="67" cm="1">
        <f t="array" ref="G451">INDEX($B$5:$B$1012, F451)</f>
        <v>41921</v>
      </c>
      <c r="H451" s="69" cm="1">
        <f t="array" ref="H451">INDEX($C$5:$C$1012, F451)</f>
        <v>45.85</v>
      </c>
      <c r="I451" s="70" cm="1">
        <f t="array" ref="I451">INDEX($D$5:$D$1012, F451)</f>
        <v>34422150</v>
      </c>
    </row>
    <row r="452" spans="2:9" x14ac:dyDescent="0.2">
      <c r="B452" s="62">
        <v>42088</v>
      </c>
      <c r="C452" s="72">
        <v>41.46</v>
      </c>
      <c r="D452" s="71">
        <v>43427180</v>
      </c>
      <c r="E452" s="66" t="s">
        <v>81</v>
      </c>
      <c r="F452" s="16">
        <f t="shared" si="12"/>
        <v>561</v>
      </c>
      <c r="G452" s="67" cm="1">
        <f t="array" ref="G452">INDEX($B$5:$B$1012, F452)</f>
        <v>41922</v>
      </c>
      <c r="H452" s="69" cm="1">
        <f t="array" ref="H452">INDEX($C$5:$C$1012, F452)</f>
        <v>44.03</v>
      </c>
      <c r="I452" s="70" cm="1">
        <f t="array" ref="I452">INDEX($D$5:$D$1012, F452)</f>
        <v>51877600</v>
      </c>
    </row>
    <row r="453" spans="2:9" x14ac:dyDescent="0.2">
      <c r="B453" s="62">
        <v>42087</v>
      </c>
      <c r="C453" s="72">
        <v>42.9</v>
      </c>
      <c r="D453" s="71">
        <v>25453110</v>
      </c>
      <c r="E453" s="66" t="s">
        <v>81</v>
      </c>
      <c r="F453" s="16">
        <f t="shared" si="12"/>
        <v>560</v>
      </c>
      <c r="G453" s="67" cm="1">
        <f t="array" ref="G453">INDEX($B$5:$B$1012, F453)</f>
        <v>41925</v>
      </c>
      <c r="H453" s="69" cm="1">
        <f t="array" ref="H453">INDEX($C$5:$C$1012, F453)</f>
        <v>43.65</v>
      </c>
      <c r="I453" s="70" cm="1">
        <f t="array" ref="I453">INDEX($D$5:$D$1012, F453)</f>
        <v>37020680</v>
      </c>
    </row>
    <row r="454" spans="2:9" x14ac:dyDescent="0.2">
      <c r="B454" s="62">
        <v>42086</v>
      </c>
      <c r="C454" s="72">
        <v>42.854999999999997</v>
      </c>
      <c r="D454" s="71">
        <v>26233420</v>
      </c>
      <c r="E454" s="66" t="s">
        <v>81</v>
      </c>
      <c r="F454" s="16">
        <f t="shared" ref="F454:F517" si="13">COUNT(B454:B1461)</f>
        <v>559</v>
      </c>
      <c r="G454" s="67" cm="1">
        <f t="array" ref="G454">INDEX($B$5:$B$1012, F454)</f>
        <v>41926</v>
      </c>
      <c r="H454" s="69" cm="1">
        <f t="array" ref="H454">INDEX($C$5:$C$1012, F454)</f>
        <v>43.73</v>
      </c>
      <c r="I454" s="70" cm="1">
        <f t="array" ref="I454">INDEX($D$5:$D$1012, F454)</f>
        <v>38097300</v>
      </c>
    </row>
    <row r="455" spans="2:9" x14ac:dyDescent="0.2">
      <c r="B455" s="62">
        <v>42083</v>
      </c>
      <c r="C455" s="72">
        <v>42.88</v>
      </c>
      <c r="D455" s="71">
        <v>71754700</v>
      </c>
      <c r="E455" s="66" t="s">
        <v>81</v>
      </c>
      <c r="F455" s="16">
        <f t="shared" si="13"/>
        <v>558</v>
      </c>
      <c r="G455" s="67" cm="1">
        <f t="array" ref="G455">INDEX($B$5:$B$1012, F455)</f>
        <v>41927</v>
      </c>
      <c r="H455" s="69" cm="1">
        <f t="array" ref="H455">INDEX($C$5:$C$1012, F455)</f>
        <v>43.22</v>
      </c>
      <c r="I455" s="70" cm="1">
        <f t="array" ref="I455">INDEX($D$5:$D$1012, F455)</f>
        <v>60188290</v>
      </c>
    </row>
    <row r="456" spans="2:9" x14ac:dyDescent="0.2">
      <c r="B456" s="62">
        <v>42082</v>
      </c>
      <c r="C456" s="72">
        <v>42.284999999999997</v>
      </c>
      <c r="D456" s="71">
        <v>33836100</v>
      </c>
      <c r="E456" s="66" t="s">
        <v>81</v>
      </c>
      <c r="F456" s="16">
        <f t="shared" si="13"/>
        <v>557</v>
      </c>
      <c r="G456" s="67" cm="1">
        <f t="array" ref="G456">INDEX($B$5:$B$1012, F456)</f>
        <v>41928</v>
      </c>
      <c r="H456" s="69" cm="1">
        <f t="array" ref="H456">INDEX($C$5:$C$1012, F456)</f>
        <v>42.74</v>
      </c>
      <c r="I456" s="70" cm="1">
        <f t="array" ref="I456">INDEX($D$5:$D$1012, F456)</f>
        <v>49007120</v>
      </c>
    </row>
    <row r="457" spans="2:9" x14ac:dyDescent="0.2">
      <c r="B457" s="62">
        <v>42081</v>
      </c>
      <c r="C457" s="72">
        <v>42.5</v>
      </c>
      <c r="D457" s="71">
        <v>44178520</v>
      </c>
      <c r="E457" s="66" t="s">
        <v>81</v>
      </c>
      <c r="F457" s="16">
        <f t="shared" si="13"/>
        <v>556</v>
      </c>
      <c r="G457" s="67" cm="1">
        <f t="array" ref="G457">INDEX($B$5:$B$1012, F457)</f>
        <v>41929</v>
      </c>
      <c r="H457" s="69" cm="1">
        <f t="array" ref="H457">INDEX($C$5:$C$1012, F457)</f>
        <v>43.63</v>
      </c>
      <c r="I457" s="70" cm="1">
        <f t="array" ref="I457">INDEX($D$5:$D$1012, F457)</f>
        <v>40654940</v>
      </c>
    </row>
    <row r="458" spans="2:9" x14ac:dyDescent="0.2">
      <c r="B458" s="62">
        <v>42080</v>
      </c>
      <c r="C458" s="72">
        <v>41.695</v>
      </c>
      <c r="D458" s="71">
        <v>31669340</v>
      </c>
      <c r="E458" s="66" t="s">
        <v>81</v>
      </c>
      <c r="F458" s="16">
        <f t="shared" si="13"/>
        <v>555</v>
      </c>
      <c r="G458" s="67" cm="1">
        <f t="array" ref="G458">INDEX($B$5:$B$1012, F458)</f>
        <v>41932</v>
      </c>
      <c r="H458" s="69" cm="1">
        <f t="array" ref="H458">INDEX($C$5:$C$1012, F458)</f>
        <v>44.08</v>
      </c>
      <c r="I458" s="70" cm="1">
        <f t="array" ref="I458">INDEX($D$5:$D$1012, F458)</f>
        <v>34523930</v>
      </c>
    </row>
    <row r="459" spans="2:9" x14ac:dyDescent="0.2">
      <c r="B459" s="62">
        <v>42079</v>
      </c>
      <c r="C459" s="72">
        <v>41.56</v>
      </c>
      <c r="D459" s="71">
        <v>35257510</v>
      </c>
      <c r="E459" s="66" t="s">
        <v>81</v>
      </c>
      <c r="F459" s="16">
        <f t="shared" si="13"/>
        <v>554</v>
      </c>
      <c r="G459" s="67" cm="1">
        <f t="array" ref="G459">INDEX($B$5:$B$1012, F459)</f>
        <v>41933</v>
      </c>
      <c r="H459" s="69" cm="1">
        <f t="array" ref="H459">INDEX($C$5:$C$1012, F459)</f>
        <v>44.88</v>
      </c>
      <c r="I459" s="70" cm="1">
        <f t="array" ref="I459">INDEX($D$5:$D$1012, F459)</f>
        <v>36234890</v>
      </c>
    </row>
    <row r="460" spans="2:9" x14ac:dyDescent="0.2">
      <c r="B460" s="62">
        <v>42076</v>
      </c>
      <c r="C460" s="72">
        <v>41.38</v>
      </c>
      <c r="D460" s="71">
        <v>57972120</v>
      </c>
      <c r="E460" s="66" t="s">
        <v>81</v>
      </c>
      <c r="F460" s="16">
        <f t="shared" si="13"/>
        <v>553</v>
      </c>
      <c r="G460" s="67" cm="1">
        <f t="array" ref="G460">INDEX($B$5:$B$1012, F460)</f>
        <v>41934</v>
      </c>
      <c r="H460" s="69" cm="1">
        <f t="array" ref="H460">INDEX($C$5:$C$1012, F460)</f>
        <v>44.38</v>
      </c>
      <c r="I460" s="70" cm="1">
        <f t="array" ref="I460">INDEX($D$5:$D$1012, F460)</f>
        <v>33570230</v>
      </c>
    </row>
    <row r="461" spans="2:9" x14ac:dyDescent="0.2">
      <c r="B461" s="62">
        <v>42075</v>
      </c>
      <c r="C461" s="72">
        <v>41.02</v>
      </c>
      <c r="D461" s="71">
        <v>59984700</v>
      </c>
      <c r="E461" s="66" t="s">
        <v>81</v>
      </c>
      <c r="F461" s="16">
        <f t="shared" si="13"/>
        <v>552</v>
      </c>
      <c r="G461" s="67" cm="1">
        <f t="array" ref="G461">INDEX($B$5:$B$1012, F461)</f>
        <v>41935</v>
      </c>
      <c r="H461" s="69" cm="1">
        <f t="array" ref="H461">INDEX($C$5:$C$1012, F461)</f>
        <v>45.02</v>
      </c>
      <c r="I461" s="70" cm="1">
        <f t="array" ref="I461">INDEX($D$5:$D$1012, F461)</f>
        <v>43844860</v>
      </c>
    </row>
    <row r="462" spans="2:9" x14ac:dyDescent="0.2">
      <c r="B462" s="62">
        <v>42074</v>
      </c>
      <c r="C462" s="72">
        <v>41.98</v>
      </c>
      <c r="D462" s="71">
        <v>32214780</v>
      </c>
      <c r="E462" s="66" t="s">
        <v>81</v>
      </c>
      <c r="F462" s="16">
        <f t="shared" si="13"/>
        <v>551</v>
      </c>
      <c r="G462" s="67" cm="1">
        <f t="array" ref="G462">INDEX($B$5:$B$1012, F462)</f>
        <v>41936</v>
      </c>
      <c r="H462" s="69" cm="1">
        <f t="array" ref="H462">INDEX($C$5:$C$1012, F462)</f>
        <v>46.13</v>
      </c>
      <c r="I462" s="70" cm="1">
        <f t="array" ref="I462">INDEX($D$5:$D$1012, F462)</f>
        <v>61053110</v>
      </c>
    </row>
    <row r="463" spans="2:9" x14ac:dyDescent="0.2">
      <c r="B463" s="62">
        <v>42073</v>
      </c>
      <c r="C463" s="72">
        <v>42.03</v>
      </c>
      <c r="D463" s="71">
        <v>39158290</v>
      </c>
      <c r="E463" s="66" t="s">
        <v>81</v>
      </c>
      <c r="F463" s="16">
        <f t="shared" si="13"/>
        <v>550</v>
      </c>
      <c r="G463" s="67" cm="1">
        <f t="array" ref="G463">INDEX($B$5:$B$1012, F463)</f>
        <v>41939</v>
      </c>
      <c r="H463" s="69" cm="1">
        <f t="array" ref="H463">INDEX($C$5:$C$1012, F463)</f>
        <v>45.91</v>
      </c>
      <c r="I463" s="70" cm="1">
        <f t="array" ref="I463">INDEX($D$5:$D$1012, F463)</f>
        <v>30319900</v>
      </c>
    </row>
    <row r="464" spans="2:9" x14ac:dyDescent="0.2">
      <c r="B464" s="62">
        <v>42072</v>
      </c>
      <c r="C464" s="72">
        <v>42.85</v>
      </c>
      <c r="D464" s="71">
        <v>32106530</v>
      </c>
      <c r="E464" s="66" t="s">
        <v>81</v>
      </c>
      <c r="F464" s="16">
        <f t="shared" si="13"/>
        <v>549</v>
      </c>
      <c r="G464" s="67" cm="1">
        <f t="array" ref="G464">INDEX($B$5:$B$1012, F464)</f>
        <v>41940</v>
      </c>
      <c r="H464" s="69" cm="1">
        <f t="array" ref="H464">INDEX($C$5:$C$1012, F464)</f>
        <v>46.49</v>
      </c>
      <c r="I464" s="70" cm="1">
        <f t="array" ref="I464">INDEX($D$5:$D$1012, F464)</f>
        <v>29001420</v>
      </c>
    </row>
    <row r="465" spans="2:9" x14ac:dyDescent="0.2">
      <c r="B465" s="62">
        <v>42069</v>
      </c>
      <c r="C465" s="72">
        <v>42.36</v>
      </c>
      <c r="D465" s="71">
        <v>36120570</v>
      </c>
      <c r="E465" s="66" t="s">
        <v>81</v>
      </c>
      <c r="F465" s="16">
        <f t="shared" si="13"/>
        <v>548</v>
      </c>
      <c r="G465" s="67" cm="1">
        <f t="array" ref="G465">INDEX($B$5:$B$1012, F465)</f>
        <v>41941</v>
      </c>
      <c r="H465" s="69" cm="1">
        <f t="array" ref="H465">INDEX($C$5:$C$1012, F465)</f>
        <v>46.62</v>
      </c>
      <c r="I465" s="70" cm="1">
        <f t="array" ref="I465">INDEX($D$5:$D$1012, F465)</f>
        <v>30274720</v>
      </c>
    </row>
    <row r="466" spans="2:9" x14ac:dyDescent="0.2">
      <c r="B466" s="62">
        <v>42068</v>
      </c>
      <c r="C466" s="72">
        <v>43.11</v>
      </c>
      <c r="D466" s="71">
        <v>23176110</v>
      </c>
      <c r="E466" s="66" t="s">
        <v>81</v>
      </c>
      <c r="F466" s="16">
        <f t="shared" si="13"/>
        <v>547</v>
      </c>
      <c r="G466" s="67" cm="1">
        <f t="array" ref="G466">INDEX($B$5:$B$1012, F466)</f>
        <v>41942</v>
      </c>
      <c r="H466" s="69" cm="1">
        <f t="array" ref="H466">INDEX($C$5:$C$1012, F466)</f>
        <v>46.05</v>
      </c>
      <c r="I466" s="70" cm="1">
        <f t="array" ref="I466">INDEX($D$5:$D$1012, F466)</f>
        <v>30040850</v>
      </c>
    </row>
    <row r="467" spans="2:9" x14ac:dyDescent="0.2">
      <c r="B467" s="62">
        <v>42067</v>
      </c>
      <c r="C467" s="72">
        <v>43.055</v>
      </c>
      <c r="D467" s="71">
        <v>25746840</v>
      </c>
      <c r="E467" s="66" t="s">
        <v>81</v>
      </c>
      <c r="F467" s="16">
        <f t="shared" si="13"/>
        <v>546</v>
      </c>
      <c r="G467" s="67" cm="1">
        <f t="array" ref="G467">INDEX($B$5:$B$1012, F467)</f>
        <v>41943</v>
      </c>
      <c r="H467" s="69" cm="1">
        <f t="array" ref="H467">INDEX($C$5:$C$1012, F467)</f>
        <v>46.95</v>
      </c>
      <c r="I467" s="70" cm="1">
        <f t="array" ref="I467">INDEX($D$5:$D$1012, F467)</f>
        <v>35826980</v>
      </c>
    </row>
    <row r="468" spans="2:9" x14ac:dyDescent="0.2">
      <c r="B468" s="62">
        <v>42066</v>
      </c>
      <c r="C468" s="72">
        <v>43.28</v>
      </c>
      <c r="D468" s="71">
        <v>31685600</v>
      </c>
      <c r="E468" s="66" t="s">
        <v>81</v>
      </c>
      <c r="F468" s="16">
        <f t="shared" si="13"/>
        <v>545</v>
      </c>
      <c r="G468" s="67" cm="1">
        <f t="array" ref="G468">INDEX($B$5:$B$1012, F468)</f>
        <v>41946</v>
      </c>
      <c r="H468" s="69" cm="1">
        <f t="array" ref="H468">INDEX($C$5:$C$1012, F468)</f>
        <v>47.44</v>
      </c>
      <c r="I468" s="70" cm="1">
        <f t="array" ref="I468">INDEX($D$5:$D$1012, F468)</f>
        <v>23078100</v>
      </c>
    </row>
    <row r="469" spans="2:9" x14ac:dyDescent="0.2">
      <c r="B469" s="62">
        <v>42065</v>
      </c>
      <c r="C469" s="72">
        <v>43.88</v>
      </c>
      <c r="D469" s="71">
        <v>31766030</v>
      </c>
      <c r="E469" s="66" t="s">
        <v>81</v>
      </c>
      <c r="F469" s="16">
        <f t="shared" si="13"/>
        <v>544</v>
      </c>
      <c r="G469" s="67" cm="1">
        <f t="array" ref="G469">INDEX($B$5:$B$1012, F469)</f>
        <v>41947</v>
      </c>
      <c r="H469" s="69" cm="1">
        <f t="array" ref="H469">INDEX($C$5:$C$1012, F469)</f>
        <v>47.57</v>
      </c>
      <c r="I469" s="70" cm="1">
        <f t="array" ref="I469">INDEX($D$5:$D$1012, F469)</f>
        <v>21287870</v>
      </c>
    </row>
    <row r="470" spans="2:9" x14ac:dyDescent="0.2">
      <c r="B470" s="62">
        <v>42062</v>
      </c>
      <c r="C470" s="72">
        <v>43.85</v>
      </c>
      <c r="D470" s="71">
        <v>33784370</v>
      </c>
      <c r="E470" s="66" t="s">
        <v>81</v>
      </c>
      <c r="F470" s="16">
        <f t="shared" si="13"/>
        <v>543</v>
      </c>
      <c r="G470" s="67" cm="1">
        <f t="array" ref="G470">INDEX($B$5:$B$1012, F470)</f>
        <v>41948</v>
      </c>
      <c r="H470" s="69" cm="1">
        <f t="array" ref="H470">INDEX($C$5:$C$1012, F470)</f>
        <v>47.86</v>
      </c>
      <c r="I470" s="70" cm="1">
        <f t="array" ref="I470">INDEX($D$5:$D$1012, F470)</f>
        <v>22447160</v>
      </c>
    </row>
    <row r="471" spans="2:9" x14ac:dyDescent="0.2">
      <c r="B471" s="62">
        <v>42061</v>
      </c>
      <c r="C471" s="72">
        <v>44.055</v>
      </c>
      <c r="D471" s="71">
        <v>26524300</v>
      </c>
      <c r="E471" s="66" t="s">
        <v>81</v>
      </c>
      <c r="F471" s="16">
        <f t="shared" si="13"/>
        <v>542</v>
      </c>
      <c r="G471" s="67" cm="1">
        <f t="array" ref="G471">INDEX($B$5:$B$1012, F471)</f>
        <v>41949</v>
      </c>
      <c r="H471" s="69" cm="1">
        <f t="array" ref="H471">INDEX($C$5:$C$1012, F471)</f>
        <v>48.7</v>
      </c>
      <c r="I471" s="70" cm="1">
        <f t="array" ref="I471">INDEX($D$5:$D$1012, F471)</f>
        <v>33033070</v>
      </c>
    </row>
    <row r="472" spans="2:9" x14ac:dyDescent="0.2">
      <c r="B472" s="62">
        <v>42060</v>
      </c>
      <c r="C472" s="72">
        <v>43.99</v>
      </c>
      <c r="D472" s="71">
        <v>29749090</v>
      </c>
      <c r="E472" s="66" t="s">
        <v>81</v>
      </c>
      <c r="F472" s="16">
        <f t="shared" si="13"/>
        <v>541</v>
      </c>
      <c r="G472" s="67" cm="1">
        <f t="array" ref="G472">INDEX($B$5:$B$1012, F472)</f>
        <v>41950</v>
      </c>
      <c r="H472" s="69" cm="1">
        <f t="array" ref="H472">INDEX($C$5:$C$1012, F472)</f>
        <v>48.68</v>
      </c>
      <c r="I472" s="70" cm="1">
        <f t="array" ref="I472">INDEX($D$5:$D$1012, F472)</f>
        <v>27987700</v>
      </c>
    </row>
    <row r="473" spans="2:9" x14ac:dyDescent="0.2">
      <c r="B473" s="62">
        <v>42059</v>
      </c>
      <c r="C473" s="72">
        <v>44.09</v>
      </c>
      <c r="D473" s="71">
        <v>25262080</v>
      </c>
      <c r="E473" s="66" t="s">
        <v>81</v>
      </c>
      <c r="F473" s="16">
        <f t="shared" si="13"/>
        <v>540</v>
      </c>
      <c r="G473" s="67" cm="1">
        <f t="array" ref="G473">INDEX($B$5:$B$1012, F473)</f>
        <v>41953</v>
      </c>
      <c r="H473" s="69" cm="1">
        <f t="array" ref="H473">INDEX($C$5:$C$1012, F473)</f>
        <v>48.89</v>
      </c>
      <c r="I473" s="70" cm="1">
        <f t="array" ref="I473">INDEX($D$5:$D$1012, F473)</f>
        <v>36364840</v>
      </c>
    </row>
    <row r="474" spans="2:9" x14ac:dyDescent="0.2">
      <c r="B474" s="62">
        <v>42058</v>
      </c>
      <c r="C474" s="72">
        <v>44.15</v>
      </c>
      <c r="D474" s="71">
        <v>32510550</v>
      </c>
      <c r="E474" s="66" t="s">
        <v>81</v>
      </c>
      <c r="F474" s="16">
        <f t="shared" si="13"/>
        <v>539</v>
      </c>
      <c r="G474" s="67" cm="1">
        <f t="array" ref="G474">INDEX($B$5:$B$1012, F474)</f>
        <v>41954</v>
      </c>
      <c r="H474" s="69" cm="1">
        <f t="array" ref="H474">INDEX($C$5:$C$1012, F474)</f>
        <v>48.87</v>
      </c>
      <c r="I474" s="70" cm="1">
        <f t="array" ref="I474">INDEX($D$5:$D$1012, F474)</f>
        <v>22180480</v>
      </c>
    </row>
    <row r="475" spans="2:9" x14ac:dyDescent="0.2">
      <c r="B475" s="62">
        <v>42055</v>
      </c>
      <c r="C475" s="72">
        <v>43.854999999999997</v>
      </c>
      <c r="D475" s="71">
        <v>29710140</v>
      </c>
      <c r="E475" s="66" t="s">
        <v>81</v>
      </c>
      <c r="F475" s="16">
        <f t="shared" si="13"/>
        <v>538</v>
      </c>
      <c r="G475" s="67" cm="1">
        <f t="array" ref="G475">INDEX($B$5:$B$1012, F475)</f>
        <v>41955</v>
      </c>
      <c r="H475" s="69" cm="1">
        <f t="array" ref="H475">INDEX($C$5:$C$1012, F475)</f>
        <v>48.78</v>
      </c>
      <c r="I475" s="70" cm="1">
        <f t="array" ref="I475">INDEX($D$5:$D$1012, F475)</f>
        <v>22721330</v>
      </c>
    </row>
    <row r="476" spans="2:9" x14ac:dyDescent="0.2">
      <c r="B476" s="62">
        <v>42054</v>
      </c>
      <c r="C476" s="72">
        <v>43.5</v>
      </c>
      <c r="D476" s="71">
        <v>27598050</v>
      </c>
      <c r="E476" s="66" t="s">
        <v>81</v>
      </c>
      <c r="F476" s="16">
        <f t="shared" si="13"/>
        <v>537</v>
      </c>
      <c r="G476" s="67" cm="1">
        <f t="array" ref="G476">INDEX($B$5:$B$1012, F476)</f>
        <v>41956</v>
      </c>
      <c r="H476" s="69" cm="1">
        <f t="array" ref="H476">INDEX($C$5:$C$1012, F476)</f>
        <v>49.61</v>
      </c>
      <c r="I476" s="70" cm="1">
        <f t="array" ref="I476">INDEX($D$5:$D$1012, F476)</f>
        <v>26207930</v>
      </c>
    </row>
    <row r="477" spans="2:9" x14ac:dyDescent="0.2">
      <c r="B477" s="62">
        <v>42053</v>
      </c>
      <c r="C477" s="72">
        <v>43.53</v>
      </c>
      <c r="D477" s="71">
        <v>27105640</v>
      </c>
      <c r="E477" s="66" t="s">
        <v>81</v>
      </c>
      <c r="F477" s="16">
        <f t="shared" si="13"/>
        <v>536</v>
      </c>
      <c r="G477" s="67" cm="1">
        <f t="array" ref="G477">INDEX($B$5:$B$1012, F477)</f>
        <v>41957</v>
      </c>
      <c r="H477" s="69" cm="1">
        <f t="array" ref="H477">INDEX($C$5:$C$1012, F477)</f>
        <v>49.58</v>
      </c>
      <c r="I477" s="70" cm="1">
        <f t="array" ref="I477">INDEX($D$5:$D$1012, F477)</f>
        <v>29074940</v>
      </c>
    </row>
    <row r="478" spans="2:9" x14ac:dyDescent="0.2">
      <c r="B478" s="62">
        <v>42052</v>
      </c>
      <c r="C478" s="72">
        <v>43.58</v>
      </c>
      <c r="D478" s="71">
        <v>33692870</v>
      </c>
      <c r="E478" s="66" t="s">
        <v>81</v>
      </c>
      <c r="F478" s="16">
        <f t="shared" si="13"/>
        <v>535</v>
      </c>
      <c r="G478" s="67" cm="1">
        <f t="array" ref="G478">INDEX($B$5:$B$1012, F478)</f>
        <v>41960</v>
      </c>
      <c r="H478" s="69" cm="1">
        <f t="array" ref="H478">INDEX($C$5:$C$1012, F478)</f>
        <v>49.46</v>
      </c>
      <c r="I478" s="70" cm="1">
        <f t="array" ref="I478">INDEX($D$5:$D$1012, F478)</f>
        <v>30309630</v>
      </c>
    </row>
    <row r="479" spans="2:9" x14ac:dyDescent="0.2">
      <c r="B479" s="62">
        <v>42048</v>
      </c>
      <c r="C479" s="72">
        <v>43.87</v>
      </c>
      <c r="D479" s="71">
        <v>40112080</v>
      </c>
      <c r="E479" s="66" t="s">
        <v>81</v>
      </c>
      <c r="F479" s="16">
        <f t="shared" si="13"/>
        <v>534</v>
      </c>
      <c r="G479" s="67" cm="1">
        <f t="array" ref="G479">INDEX($B$5:$B$1012, F479)</f>
        <v>41961</v>
      </c>
      <c r="H479" s="69" cm="1">
        <f t="array" ref="H479">INDEX($C$5:$C$1012, F479)</f>
        <v>48.74</v>
      </c>
      <c r="I479" s="70" cm="1">
        <f t="array" ref="I479">INDEX($D$5:$D$1012, F479)</f>
        <v>23938060</v>
      </c>
    </row>
    <row r="480" spans="2:9" x14ac:dyDescent="0.2">
      <c r="B480" s="62">
        <v>42047</v>
      </c>
      <c r="C480" s="72">
        <v>43.09</v>
      </c>
      <c r="D480" s="71">
        <v>33238000</v>
      </c>
      <c r="E480" s="66" t="s">
        <v>81</v>
      </c>
      <c r="F480" s="16">
        <f t="shared" si="13"/>
        <v>533</v>
      </c>
      <c r="G480" s="67" cm="1">
        <f t="array" ref="G480">INDEX($B$5:$B$1012, F480)</f>
        <v>41962</v>
      </c>
      <c r="H480" s="69" cm="1">
        <f t="array" ref="H480">INDEX($C$5:$C$1012, F480)</f>
        <v>48.22</v>
      </c>
      <c r="I480" s="70" cm="1">
        <f t="array" ref="I480">INDEX($D$5:$D$1012, F480)</f>
        <v>26166200</v>
      </c>
    </row>
    <row r="481" spans="2:9" x14ac:dyDescent="0.2">
      <c r="B481" s="62">
        <v>42046</v>
      </c>
      <c r="C481" s="72">
        <v>42.38</v>
      </c>
      <c r="D481" s="71">
        <v>38248500</v>
      </c>
      <c r="E481" s="66" t="s">
        <v>81</v>
      </c>
      <c r="F481" s="16">
        <f t="shared" si="13"/>
        <v>532</v>
      </c>
      <c r="G481" s="67" cm="1">
        <f t="array" ref="G481">INDEX($B$5:$B$1012, F481)</f>
        <v>41963</v>
      </c>
      <c r="H481" s="69" cm="1">
        <f t="array" ref="H481">INDEX($C$5:$C$1012, F481)</f>
        <v>48.7</v>
      </c>
      <c r="I481" s="70" cm="1">
        <f t="array" ref="I481">INDEX($D$5:$D$1012, F481)</f>
        <v>21486310</v>
      </c>
    </row>
    <row r="482" spans="2:9" x14ac:dyDescent="0.2">
      <c r="B482" s="62">
        <v>42045</v>
      </c>
      <c r="C482" s="72">
        <v>42.6</v>
      </c>
      <c r="D482" s="71">
        <v>29655280</v>
      </c>
      <c r="E482" s="66" t="s">
        <v>81</v>
      </c>
      <c r="F482" s="16">
        <f t="shared" si="13"/>
        <v>531</v>
      </c>
      <c r="G482" s="67" cm="1">
        <f t="array" ref="G482">INDEX($B$5:$B$1012, F482)</f>
        <v>41964</v>
      </c>
      <c r="H482" s="69" cm="1">
        <f t="array" ref="H482">INDEX($C$5:$C$1012, F482)</f>
        <v>47.98</v>
      </c>
      <c r="I482" s="70" cm="1">
        <f t="array" ref="I482">INDEX($D$5:$D$1012, F482)</f>
        <v>42867970</v>
      </c>
    </row>
    <row r="483" spans="2:9" x14ac:dyDescent="0.2">
      <c r="B483" s="62">
        <v>42044</v>
      </c>
      <c r="C483" s="72">
        <v>42.36</v>
      </c>
      <c r="D483" s="71">
        <v>27416280</v>
      </c>
      <c r="E483" s="66" t="s">
        <v>81</v>
      </c>
      <c r="F483" s="16">
        <f t="shared" si="13"/>
        <v>530</v>
      </c>
      <c r="G483" s="67" cm="1">
        <f t="array" ref="G483">INDEX($B$5:$B$1012, F483)</f>
        <v>41967</v>
      </c>
      <c r="H483" s="69" cm="1">
        <f t="array" ref="H483">INDEX($C$5:$C$1012, F483)</f>
        <v>47.59</v>
      </c>
      <c r="I483" s="70" cm="1">
        <f t="array" ref="I483">INDEX($D$5:$D$1012, F483)</f>
        <v>34266860</v>
      </c>
    </row>
    <row r="484" spans="2:9" x14ac:dyDescent="0.2">
      <c r="B484" s="62">
        <v>42041</v>
      </c>
      <c r="C484" s="72">
        <v>42.41</v>
      </c>
      <c r="D484" s="71">
        <v>34612420</v>
      </c>
      <c r="E484" s="66" t="s">
        <v>81</v>
      </c>
      <c r="F484" s="16">
        <f t="shared" si="13"/>
        <v>529</v>
      </c>
      <c r="G484" s="67" cm="1">
        <f t="array" ref="G484">INDEX($B$5:$B$1012, F484)</f>
        <v>41968</v>
      </c>
      <c r="H484" s="69" cm="1">
        <f t="array" ref="H484">INDEX($C$5:$C$1012, F484)</f>
        <v>47.47</v>
      </c>
      <c r="I484" s="70" cm="1">
        <f t="array" ref="I484">INDEX($D$5:$D$1012, F484)</f>
        <v>27951120</v>
      </c>
    </row>
    <row r="485" spans="2:9" x14ac:dyDescent="0.2">
      <c r="B485" s="62">
        <v>42040</v>
      </c>
      <c r="C485" s="72">
        <v>42.45</v>
      </c>
      <c r="D485" s="71">
        <v>36543020</v>
      </c>
      <c r="E485" s="66" t="s">
        <v>81</v>
      </c>
      <c r="F485" s="16">
        <f t="shared" si="13"/>
        <v>528</v>
      </c>
      <c r="G485" s="67" cm="1">
        <f t="array" ref="G485">INDEX($B$5:$B$1012, F485)</f>
        <v>41969</v>
      </c>
      <c r="H485" s="69" cm="1">
        <f t="array" ref="H485">INDEX($C$5:$C$1012, F485)</f>
        <v>47.75</v>
      </c>
      <c r="I485" s="70" cm="1">
        <f t="array" ref="I485">INDEX($D$5:$D$1012, F485)</f>
        <v>27162850</v>
      </c>
    </row>
    <row r="486" spans="2:9" x14ac:dyDescent="0.2">
      <c r="B486" s="62">
        <v>42039</v>
      </c>
      <c r="C486" s="72">
        <v>41.84</v>
      </c>
      <c r="D486" s="71">
        <v>41585310</v>
      </c>
      <c r="E486" s="66" t="s">
        <v>81</v>
      </c>
      <c r="F486" s="16">
        <f t="shared" si="13"/>
        <v>527</v>
      </c>
      <c r="G486" s="67" cm="1">
        <f t="array" ref="G486">INDEX($B$5:$B$1012, F486)</f>
        <v>41971</v>
      </c>
      <c r="H486" s="69" cm="1">
        <f t="array" ref="H486">INDEX($C$5:$C$1012, F486)</f>
        <v>47.81</v>
      </c>
      <c r="I486" s="70" cm="1">
        <f t="array" ref="I486">INDEX($D$5:$D$1012, F486)</f>
        <v>21534430</v>
      </c>
    </row>
    <row r="487" spans="2:9" x14ac:dyDescent="0.2">
      <c r="B487" s="62">
        <v>42038</v>
      </c>
      <c r="C487" s="72">
        <v>41.6</v>
      </c>
      <c r="D487" s="71">
        <v>52068450</v>
      </c>
      <c r="E487" s="66" t="s">
        <v>81</v>
      </c>
      <c r="F487" s="16">
        <f t="shared" si="13"/>
        <v>526</v>
      </c>
      <c r="G487" s="67" cm="1">
        <f t="array" ref="G487">INDEX($B$5:$B$1012, F487)</f>
        <v>41974</v>
      </c>
      <c r="H487" s="69" cm="1">
        <f t="array" ref="H487">INDEX($C$5:$C$1012, F487)</f>
        <v>48.62</v>
      </c>
      <c r="I487" s="70" cm="1">
        <f t="array" ref="I487">INDEX($D$5:$D$1012, F487)</f>
        <v>31187680</v>
      </c>
    </row>
    <row r="488" spans="2:9" x14ac:dyDescent="0.2">
      <c r="B488" s="62">
        <v>42037</v>
      </c>
      <c r="C488" s="72">
        <v>41.28</v>
      </c>
      <c r="D488" s="71">
        <v>50274250</v>
      </c>
      <c r="E488" s="66" t="s">
        <v>81</v>
      </c>
      <c r="F488" s="16">
        <f t="shared" si="13"/>
        <v>525</v>
      </c>
      <c r="G488" s="67" cm="1">
        <f t="array" ref="G488">INDEX($B$5:$B$1012, F488)</f>
        <v>41975</v>
      </c>
      <c r="H488" s="69" cm="1">
        <f t="array" ref="H488">INDEX($C$5:$C$1012, F488)</f>
        <v>48.46</v>
      </c>
      <c r="I488" s="70" cm="1">
        <f t="array" ref="I488">INDEX($D$5:$D$1012, F488)</f>
        <v>25768100</v>
      </c>
    </row>
    <row r="489" spans="2:9" x14ac:dyDescent="0.2">
      <c r="B489" s="62">
        <v>42034</v>
      </c>
      <c r="C489" s="72">
        <v>40.4</v>
      </c>
      <c r="D489" s="71">
        <v>77983360</v>
      </c>
      <c r="E489" s="66" t="s">
        <v>81</v>
      </c>
      <c r="F489" s="16">
        <f t="shared" si="13"/>
        <v>524</v>
      </c>
      <c r="G489" s="67" cm="1">
        <f t="array" ref="G489">INDEX($B$5:$B$1012, F489)</f>
        <v>41976</v>
      </c>
      <c r="H489" s="69" cm="1">
        <f t="array" ref="H489">INDEX($C$5:$C$1012, F489)</f>
        <v>48.08</v>
      </c>
      <c r="I489" s="70" cm="1">
        <f t="array" ref="I489">INDEX($D$5:$D$1012, F489)</f>
        <v>23528130</v>
      </c>
    </row>
    <row r="490" spans="2:9" x14ac:dyDescent="0.2">
      <c r="B490" s="62">
        <v>42033</v>
      </c>
      <c r="C490" s="72">
        <v>42.01</v>
      </c>
      <c r="D490" s="71">
        <v>63551980</v>
      </c>
      <c r="E490" s="66" t="s">
        <v>81</v>
      </c>
      <c r="F490" s="16">
        <f t="shared" si="13"/>
        <v>523</v>
      </c>
      <c r="G490" s="67" cm="1">
        <f t="array" ref="G490">INDEX($B$5:$B$1012, F490)</f>
        <v>41977</v>
      </c>
      <c r="H490" s="69" cm="1">
        <f t="array" ref="H490">INDEX($C$5:$C$1012, F490)</f>
        <v>48.84</v>
      </c>
      <c r="I490" s="70" cm="1">
        <f t="array" ref="I490">INDEX($D$5:$D$1012, F490)</f>
        <v>30342050</v>
      </c>
    </row>
    <row r="491" spans="2:9" x14ac:dyDescent="0.2">
      <c r="B491" s="62">
        <v>42032</v>
      </c>
      <c r="C491" s="72">
        <v>41.19</v>
      </c>
      <c r="D491" s="71">
        <v>84453280</v>
      </c>
      <c r="E491" s="66" t="s">
        <v>81</v>
      </c>
      <c r="F491" s="16">
        <f t="shared" si="13"/>
        <v>522</v>
      </c>
      <c r="G491" s="67" cm="1">
        <f t="array" ref="G491">INDEX($B$5:$B$1012, F491)</f>
        <v>41978</v>
      </c>
      <c r="H491" s="69" cm="1">
        <f t="array" ref="H491">INDEX($C$5:$C$1012, F491)</f>
        <v>48.42</v>
      </c>
      <c r="I491" s="70" cm="1">
        <f t="array" ref="I491">INDEX($D$5:$D$1012, F491)</f>
        <v>26705270</v>
      </c>
    </row>
    <row r="492" spans="2:9" x14ac:dyDescent="0.2">
      <c r="B492" s="62">
        <v>42031</v>
      </c>
      <c r="C492" s="72">
        <v>42.66</v>
      </c>
      <c r="D492" s="71">
        <v>169115000</v>
      </c>
      <c r="E492" s="66" t="s">
        <v>81</v>
      </c>
      <c r="F492" s="16">
        <f t="shared" si="13"/>
        <v>521</v>
      </c>
      <c r="G492" s="67" cm="1">
        <f t="array" ref="G492">INDEX($B$5:$B$1012, F492)</f>
        <v>41981</v>
      </c>
      <c r="H492" s="69" cm="1">
        <f t="array" ref="H492">INDEX($C$5:$C$1012, F492)</f>
        <v>47.695</v>
      </c>
      <c r="I492" s="70" cm="1">
        <f t="array" ref="I492">INDEX($D$5:$D$1012, F492)</f>
        <v>26652610</v>
      </c>
    </row>
    <row r="493" spans="2:9" x14ac:dyDescent="0.2">
      <c r="B493" s="62">
        <v>42030</v>
      </c>
      <c r="C493" s="72">
        <v>47.01</v>
      </c>
      <c r="D493" s="71">
        <v>40995700</v>
      </c>
      <c r="E493" s="66" t="s">
        <v>81</v>
      </c>
      <c r="F493" s="16">
        <f t="shared" si="13"/>
        <v>520</v>
      </c>
      <c r="G493" s="67" cm="1">
        <f t="array" ref="G493">INDEX($B$5:$B$1012, F493)</f>
        <v>41982</v>
      </c>
      <c r="H493" s="69" cm="1">
        <f t="array" ref="H493">INDEX($C$5:$C$1012, F493)</f>
        <v>47.59</v>
      </c>
      <c r="I493" s="70" cm="1">
        <f t="array" ref="I493">INDEX($D$5:$D$1012, F493)</f>
        <v>24326090</v>
      </c>
    </row>
    <row r="494" spans="2:9" x14ac:dyDescent="0.2">
      <c r="B494" s="62">
        <v>42027</v>
      </c>
      <c r="C494" s="72">
        <v>47.18</v>
      </c>
      <c r="D494" s="71">
        <v>26136690</v>
      </c>
      <c r="E494" s="66" t="s">
        <v>81</v>
      </c>
      <c r="F494" s="16">
        <f t="shared" si="13"/>
        <v>519</v>
      </c>
      <c r="G494" s="67" cm="1">
        <f t="array" ref="G494">INDEX($B$5:$B$1012, F494)</f>
        <v>41983</v>
      </c>
      <c r="H494" s="69" cm="1">
        <f t="array" ref="H494">INDEX($C$5:$C$1012, F494)</f>
        <v>46.9</v>
      </c>
      <c r="I494" s="70" cm="1">
        <f t="array" ref="I494">INDEX($D$5:$D$1012, F494)</f>
        <v>30284690</v>
      </c>
    </row>
    <row r="495" spans="2:9" x14ac:dyDescent="0.2">
      <c r="B495" s="62">
        <v>42026</v>
      </c>
      <c r="C495" s="72">
        <v>47.13</v>
      </c>
      <c r="D495" s="71">
        <v>35842790</v>
      </c>
      <c r="E495" s="66" t="s">
        <v>81</v>
      </c>
      <c r="F495" s="16">
        <f t="shared" si="13"/>
        <v>518</v>
      </c>
      <c r="G495" s="67" cm="1">
        <f t="array" ref="G495">INDEX($B$5:$B$1012, F495)</f>
        <v>41984</v>
      </c>
      <c r="H495" s="69" cm="1">
        <f t="array" ref="H495">INDEX($C$5:$C$1012, F495)</f>
        <v>47.17</v>
      </c>
      <c r="I495" s="70" cm="1">
        <f t="array" ref="I495">INDEX($D$5:$D$1012, F495)</f>
        <v>29060360</v>
      </c>
    </row>
    <row r="496" spans="2:9" x14ac:dyDescent="0.2">
      <c r="B496" s="62">
        <v>42025</v>
      </c>
      <c r="C496" s="72">
        <v>45.92</v>
      </c>
      <c r="D496" s="71">
        <v>37113740</v>
      </c>
      <c r="E496" s="66" t="s">
        <v>81</v>
      </c>
      <c r="F496" s="16">
        <f t="shared" si="13"/>
        <v>517</v>
      </c>
      <c r="G496" s="67" cm="1">
        <f t="array" ref="G496">INDEX($B$5:$B$1012, F496)</f>
        <v>41985</v>
      </c>
      <c r="H496" s="69" cm="1">
        <f t="array" ref="H496">INDEX($C$5:$C$1012, F496)</f>
        <v>46.95</v>
      </c>
      <c r="I496" s="70" cm="1">
        <f t="array" ref="I496">INDEX($D$5:$D$1012, F496)</f>
        <v>34247280</v>
      </c>
    </row>
    <row r="497" spans="2:9" x14ac:dyDescent="0.2">
      <c r="B497" s="62">
        <v>42024</v>
      </c>
      <c r="C497" s="72">
        <v>46.39</v>
      </c>
      <c r="D497" s="71">
        <v>36121800</v>
      </c>
      <c r="E497" s="66" t="s">
        <v>81</v>
      </c>
      <c r="F497" s="16">
        <f t="shared" si="13"/>
        <v>516</v>
      </c>
      <c r="G497" s="67" cm="1">
        <f t="array" ref="G497">INDEX($B$5:$B$1012, F497)</f>
        <v>41988</v>
      </c>
      <c r="H497" s="69" cm="1">
        <f t="array" ref="H497">INDEX($C$5:$C$1012, F497)</f>
        <v>46.67</v>
      </c>
      <c r="I497" s="70" cm="1">
        <f t="array" ref="I497">INDEX($D$5:$D$1012, F497)</f>
        <v>29213490</v>
      </c>
    </row>
    <row r="498" spans="2:9" x14ac:dyDescent="0.2">
      <c r="B498" s="62">
        <v>42020</v>
      </c>
      <c r="C498" s="72">
        <v>46.24</v>
      </c>
      <c r="D498" s="71">
        <v>35683380</v>
      </c>
      <c r="E498" s="66" t="s">
        <v>81</v>
      </c>
      <c r="F498" s="16">
        <f t="shared" si="13"/>
        <v>515</v>
      </c>
      <c r="G498" s="67" cm="1">
        <f t="array" ref="G498">INDEX($B$5:$B$1012, F498)</f>
        <v>41989</v>
      </c>
      <c r="H498" s="69" cm="1">
        <f t="array" ref="H498">INDEX($C$5:$C$1012, F498)</f>
        <v>45.16</v>
      </c>
      <c r="I498" s="70" cm="1">
        <f t="array" ref="I498">INDEX($D$5:$D$1012, F498)</f>
        <v>47764300</v>
      </c>
    </row>
    <row r="499" spans="2:9" x14ac:dyDescent="0.2">
      <c r="B499" s="62">
        <v>42019</v>
      </c>
      <c r="C499" s="72">
        <v>45.48</v>
      </c>
      <c r="D499" s="71">
        <v>32744260</v>
      </c>
      <c r="E499" s="66" t="s">
        <v>81</v>
      </c>
      <c r="F499" s="16">
        <f t="shared" si="13"/>
        <v>514</v>
      </c>
      <c r="G499" s="67" cm="1">
        <f t="array" ref="G499">INDEX($B$5:$B$1012, F499)</f>
        <v>41990</v>
      </c>
      <c r="H499" s="69" cm="1">
        <f t="array" ref="H499">INDEX($C$5:$C$1012, F499)</f>
        <v>45.74</v>
      </c>
      <c r="I499" s="70" cm="1">
        <f t="array" ref="I499">INDEX($D$5:$D$1012, F499)</f>
        <v>34967260</v>
      </c>
    </row>
    <row r="500" spans="2:9" x14ac:dyDescent="0.2">
      <c r="B500" s="62">
        <v>42018</v>
      </c>
      <c r="C500" s="72">
        <v>45.954999999999998</v>
      </c>
      <c r="D500" s="71">
        <v>29713190</v>
      </c>
      <c r="E500" s="66" t="s">
        <v>81</v>
      </c>
      <c r="F500" s="16">
        <f t="shared" si="13"/>
        <v>513</v>
      </c>
      <c r="G500" s="67" cm="1">
        <f t="array" ref="G500">INDEX($B$5:$B$1012, F500)</f>
        <v>41991</v>
      </c>
      <c r="H500" s="69" cm="1">
        <f t="array" ref="H500">INDEX($C$5:$C$1012, F500)</f>
        <v>47.52</v>
      </c>
      <c r="I500" s="70" cm="1">
        <f t="array" ref="I500">INDEX($D$5:$D$1012, F500)</f>
        <v>40031480</v>
      </c>
    </row>
    <row r="501" spans="2:9" x14ac:dyDescent="0.2">
      <c r="B501" s="62">
        <v>42017</v>
      </c>
      <c r="C501" s="72">
        <v>46.354999999999997</v>
      </c>
      <c r="D501" s="71">
        <v>35258300</v>
      </c>
      <c r="E501" s="66" t="s">
        <v>81</v>
      </c>
      <c r="F501" s="16">
        <f t="shared" si="13"/>
        <v>512</v>
      </c>
      <c r="G501" s="67" cm="1">
        <f t="array" ref="G501">INDEX($B$5:$B$1012, F501)</f>
        <v>41992</v>
      </c>
      <c r="H501" s="69" cm="1">
        <f t="array" ref="H501">INDEX($C$5:$C$1012, F501)</f>
        <v>47.66</v>
      </c>
      <c r="I501" s="70" cm="1">
        <f t="array" ref="I501">INDEX($D$5:$D$1012, F501)</f>
        <v>64504160</v>
      </c>
    </row>
    <row r="502" spans="2:9" x14ac:dyDescent="0.2">
      <c r="B502" s="62">
        <v>42016</v>
      </c>
      <c r="C502" s="72">
        <v>46.6</v>
      </c>
      <c r="D502" s="71">
        <v>23623970</v>
      </c>
      <c r="E502" s="66" t="s">
        <v>81</v>
      </c>
      <c r="F502" s="16">
        <f t="shared" si="13"/>
        <v>511</v>
      </c>
      <c r="G502" s="67" cm="1">
        <f t="array" ref="G502">INDEX($B$5:$B$1012, F502)</f>
        <v>41995</v>
      </c>
      <c r="H502" s="69" cm="1">
        <f t="array" ref="H502">INDEX($C$5:$C$1012, F502)</f>
        <v>47.98</v>
      </c>
      <c r="I502" s="70" cm="1">
        <f t="array" ref="I502">INDEX($D$5:$D$1012, F502)</f>
        <v>26561880</v>
      </c>
    </row>
    <row r="503" spans="2:9" x14ac:dyDescent="0.2">
      <c r="B503" s="62">
        <v>42013</v>
      </c>
      <c r="C503" s="72">
        <v>47.19</v>
      </c>
      <c r="D503" s="71">
        <v>23942750</v>
      </c>
      <c r="E503" s="66" t="s">
        <v>81</v>
      </c>
      <c r="F503" s="16">
        <f t="shared" si="13"/>
        <v>510</v>
      </c>
      <c r="G503" s="67" cm="1">
        <f t="array" ref="G503">INDEX($B$5:$B$1012, F503)</f>
        <v>41996</v>
      </c>
      <c r="H503" s="69" cm="1">
        <f t="array" ref="H503">INDEX($C$5:$C$1012, F503)</f>
        <v>48.45</v>
      </c>
      <c r="I503" s="70" cm="1">
        <f t="array" ref="I503">INDEX($D$5:$D$1012, F503)</f>
        <v>23654190</v>
      </c>
    </row>
    <row r="504" spans="2:9" x14ac:dyDescent="0.2">
      <c r="B504" s="62">
        <v>42012</v>
      </c>
      <c r="C504" s="72">
        <v>47.59</v>
      </c>
      <c r="D504" s="71">
        <v>29634030</v>
      </c>
      <c r="E504" s="66" t="s">
        <v>81</v>
      </c>
      <c r="F504" s="16">
        <f t="shared" si="13"/>
        <v>509</v>
      </c>
      <c r="G504" s="67" cm="1">
        <f t="array" ref="G504">INDEX($B$5:$B$1012, F504)</f>
        <v>41997</v>
      </c>
      <c r="H504" s="69" cm="1">
        <f t="array" ref="H504">INDEX($C$5:$C$1012, F504)</f>
        <v>48.14</v>
      </c>
      <c r="I504" s="70" cm="1">
        <f t="array" ref="I504">INDEX($D$5:$D$1012, F504)</f>
        <v>11442790</v>
      </c>
    </row>
    <row r="505" spans="2:9" x14ac:dyDescent="0.2">
      <c r="B505" s="62">
        <v>42011</v>
      </c>
      <c r="C505" s="72">
        <v>46.23</v>
      </c>
      <c r="D505" s="71">
        <v>29103920</v>
      </c>
      <c r="E505" s="66" t="s">
        <v>81</v>
      </c>
      <c r="F505" s="16">
        <f t="shared" si="13"/>
        <v>508</v>
      </c>
      <c r="G505" s="67" cm="1">
        <f t="array" ref="G505">INDEX($B$5:$B$1012, F505)</f>
        <v>41999</v>
      </c>
      <c r="H505" s="69" cm="1">
        <f t="array" ref="H505">INDEX($C$5:$C$1012, F505)</f>
        <v>47.88</v>
      </c>
      <c r="I505" s="70" cm="1">
        <f t="array" ref="I505">INDEX($D$5:$D$1012, F505)</f>
        <v>13197120</v>
      </c>
    </row>
    <row r="506" spans="2:9" x14ac:dyDescent="0.2">
      <c r="B506" s="62">
        <v>42010</v>
      </c>
      <c r="C506" s="72">
        <v>45.65</v>
      </c>
      <c r="D506" s="71">
        <v>36434980</v>
      </c>
      <c r="E506" s="66" t="s">
        <v>81</v>
      </c>
      <c r="F506" s="16">
        <f t="shared" si="13"/>
        <v>507</v>
      </c>
      <c r="G506" s="67" cm="1">
        <f t="array" ref="G506">INDEX($B$5:$B$1012, F506)</f>
        <v>42002</v>
      </c>
      <c r="H506" s="69" cm="1">
        <f t="array" ref="H506">INDEX($C$5:$C$1012, F506)</f>
        <v>47.45</v>
      </c>
      <c r="I506" s="70" cm="1">
        <f t="array" ref="I506">INDEX($D$5:$D$1012, F506)</f>
        <v>14417170</v>
      </c>
    </row>
    <row r="507" spans="2:9" x14ac:dyDescent="0.2">
      <c r="B507" s="62">
        <v>42009</v>
      </c>
      <c r="C507" s="72">
        <v>46.325000000000003</v>
      </c>
      <c r="D507" s="71">
        <v>39667400</v>
      </c>
      <c r="E507" s="66" t="s">
        <v>81</v>
      </c>
      <c r="F507" s="16">
        <f t="shared" si="13"/>
        <v>506</v>
      </c>
      <c r="G507" s="67" cm="1">
        <f t="array" ref="G507">INDEX($B$5:$B$1012, F507)</f>
        <v>42003</v>
      </c>
      <c r="H507" s="69" cm="1">
        <f t="array" ref="H507">INDEX($C$5:$C$1012, F507)</f>
        <v>47.02</v>
      </c>
      <c r="I507" s="70" cm="1">
        <f t="array" ref="I507">INDEX($D$5:$D$1012, F507)</f>
        <v>16380820</v>
      </c>
    </row>
    <row r="508" spans="2:9" x14ac:dyDescent="0.2">
      <c r="B508" s="62">
        <v>42006</v>
      </c>
      <c r="C508" s="72">
        <v>46.76</v>
      </c>
      <c r="D508" s="71">
        <v>27843560</v>
      </c>
      <c r="E508" s="66" t="s">
        <v>81</v>
      </c>
      <c r="F508" s="16">
        <f t="shared" si="13"/>
        <v>505</v>
      </c>
      <c r="G508" s="67" cm="1">
        <f t="array" ref="G508">INDEX($B$5:$B$1012, F508)</f>
        <v>42004</v>
      </c>
      <c r="H508" s="69" cm="1">
        <f t="array" ref="H508">INDEX($C$5:$C$1012, F508)</f>
        <v>46.45</v>
      </c>
      <c r="I508" s="70" cm="1">
        <f t="array" ref="I508">INDEX($D$5:$D$1012, F508)</f>
        <v>21551090</v>
      </c>
    </row>
    <row r="509" spans="2:9" x14ac:dyDescent="0.2">
      <c r="B509" s="62">
        <v>42004</v>
      </c>
      <c r="C509" s="72">
        <v>46.45</v>
      </c>
      <c r="D509" s="71">
        <v>21551090</v>
      </c>
      <c r="E509" s="66" t="s">
        <v>81</v>
      </c>
      <c r="F509" s="16">
        <f t="shared" si="13"/>
        <v>504</v>
      </c>
      <c r="G509" s="67" cm="1">
        <f t="array" ref="G509">INDEX($B$5:$B$1012, F509)</f>
        <v>42006</v>
      </c>
      <c r="H509" s="69" cm="1">
        <f t="array" ref="H509">INDEX($C$5:$C$1012, F509)</f>
        <v>46.76</v>
      </c>
      <c r="I509" s="70" cm="1">
        <f t="array" ref="I509">INDEX($D$5:$D$1012, F509)</f>
        <v>27843560</v>
      </c>
    </row>
    <row r="510" spans="2:9" x14ac:dyDescent="0.2">
      <c r="B510" s="62">
        <v>42003</v>
      </c>
      <c r="C510" s="72">
        <v>47.02</v>
      </c>
      <c r="D510" s="71">
        <v>16380820</v>
      </c>
      <c r="E510" s="66" t="s">
        <v>81</v>
      </c>
      <c r="F510" s="16">
        <f t="shared" si="13"/>
        <v>503</v>
      </c>
      <c r="G510" s="67" cm="1">
        <f t="array" ref="G510">INDEX($B$5:$B$1012, F510)</f>
        <v>42009</v>
      </c>
      <c r="H510" s="69" cm="1">
        <f t="array" ref="H510">INDEX($C$5:$C$1012, F510)</f>
        <v>46.325000000000003</v>
      </c>
      <c r="I510" s="70" cm="1">
        <f t="array" ref="I510">INDEX($D$5:$D$1012, F510)</f>
        <v>39667400</v>
      </c>
    </row>
    <row r="511" spans="2:9" x14ac:dyDescent="0.2">
      <c r="B511" s="62">
        <v>42002</v>
      </c>
      <c r="C511" s="72">
        <v>47.45</v>
      </c>
      <c r="D511" s="71">
        <v>14417170</v>
      </c>
      <c r="E511" s="66" t="s">
        <v>81</v>
      </c>
      <c r="F511" s="16">
        <f t="shared" si="13"/>
        <v>502</v>
      </c>
      <c r="G511" s="67" cm="1">
        <f t="array" ref="G511">INDEX($B$5:$B$1012, F511)</f>
        <v>42010</v>
      </c>
      <c r="H511" s="69" cm="1">
        <f t="array" ref="H511">INDEX($C$5:$C$1012, F511)</f>
        <v>45.65</v>
      </c>
      <c r="I511" s="70" cm="1">
        <f t="array" ref="I511">INDEX($D$5:$D$1012, F511)</f>
        <v>36434980</v>
      </c>
    </row>
    <row r="512" spans="2:9" x14ac:dyDescent="0.2">
      <c r="B512" s="62">
        <v>41999</v>
      </c>
      <c r="C512" s="72">
        <v>47.88</v>
      </c>
      <c r="D512" s="71">
        <v>13197120</v>
      </c>
      <c r="E512" s="66" t="s">
        <v>81</v>
      </c>
      <c r="F512" s="16">
        <f t="shared" si="13"/>
        <v>501</v>
      </c>
      <c r="G512" s="67" cm="1">
        <f t="array" ref="G512">INDEX($B$5:$B$1012, F512)</f>
        <v>42011</v>
      </c>
      <c r="H512" s="69" cm="1">
        <f t="array" ref="H512">INDEX($C$5:$C$1012, F512)</f>
        <v>46.23</v>
      </c>
      <c r="I512" s="70" cm="1">
        <f t="array" ref="I512">INDEX($D$5:$D$1012, F512)</f>
        <v>29103920</v>
      </c>
    </row>
    <row r="513" spans="2:9" x14ac:dyDescent="0.2">
      <c r="B513" s="62">
        <v>41997</v>
      </c>
      <c r="C513" s="72">
        <v>48.14</v>
      </c>
      <c r="D513" s="71">
        <v>11442790</v>
      </c>
      <c r="E513" s="66" t="s">
        <v>81</v>
      </c>
      <c r="F513" s="16">
        <f t="shared" si="13"/>
        <v>500</v>
      </c>
      <c r="G513" s="67" cm="1">
        <f t="array" ref="G513">INDEX($B$5:$B$1012, F513)</f>
        <v>42012</v>
      </c>
      <c r="H513" s="69" cm="1">
        <f t="array" ref="H513">INDEX($C$5:$C$1012, F513)</f>
        <v>47.59</v>
      </c>
      <c r="I513" s="70" cm="1">
        <f t="array" ref="I513">INDEX($D$5:$D$1012, F513)</f>
        <v>29634030</v>
      </c>
    </row>
    <row r="514" spans="2:9" x14ac:dyDescent="0.2">
      <c r="B514" s="62">
        <v>41996</v>
      </c>
      <c r="C514" s="72">
        <v>48.45</v>
      </c>
      <c r="D514" s="71">
        <v>23654190</v>
      </c>
      <c r="E514" s="66" t="s">
        <v>81</v>
      </c>
      <c r="F514" s="16">
        <f t="shared" si="13"/>
        <v>499</v>
      </c>
      <c r="G514" s="67" cm="1">
        <f t="array" ref="G514">INDEX($B$5:$B$1012, F514)</f>
        <v>42013</v>
      </c>
      <c r="H514" s="69" cm="1">
        <f t="array" ref="H514">INDEX($C$5:$C$1012, F514)</f>
        <v>47.19</v>
      </c>
      <c r="I514" s="70" cm="1">
        <f t="array" ref="I514">INDEX($D$5:$D$1012, F514)</f>
        <v>23942750</v>
      </c>
    </row>
    <row r="515" spans="2:9" x14ac:dyDescent="0.2">
      <c r="B515" s="62">
        <v>41995</v>
      </c>
      <c r="C515" s="72">
        <v>47.98</v>
      </c>
      <c r="D515" s="71">
        <v>26561880</v>
      </c>
      <c r="E515" s="66" t="s">
        <v>81</v>
      </c>
      <c r="F515" s="16">
        <f t="shared" si="13"/>
        <v>498</v>
      </c>
      <c r="G515" s="67" cm="1">
        <f t="array" ref="G515">INDEX($B$5:$B$1012, F515)</f>
        <v>42016</v>
      </c>
      <c r="H515" s="69" cm="1">
        <f t="array" ref="H515">INDEX($C$5:$C$1012, F515)</f>
        <v>46.6</v>
      </c>
      <c r="I515" s="70" cm="1">
        <f t="array" ref="I515">INDEX($D$5:$D$1012, F515)</f>
        <v>23623970</v>
      </c>
    </row>
    <row r="516" spans="2:9" x14ac:dyDescent="0.2">
      <c r="B516" s="62">
        <v>41992</v>
      </c>
      <c r="C516" s="72">
        <v>47.66</v>
      </c>
      <c r="D516" s="71">
        <v>64504160</v>
      </c>
      <c r="E516" s="66" t="s">
        <v>81</v>
      </c>
      <c r="F516" s="16">
        <f t="shared" si="13"/>
        <v>497</v>
      </c>
      <c r="G516" s="67" cm="1">
        <f t="array" ref="G516">INDEX($B$5:$B$1012, F516)</f>
        <v>42017</v>
      </c>
      <c r="H516" s="69" cm="1">
        <f t="array" ref="H516">INDEX($C$5:$C$1012, F516)</f>
        <v>46.354999999999997</v>
      </c>
      <c r="I516" s="70" cm="1">
        <f t="array" ref="I516">INDEX($D$5:$D$1012, F516)</f>
        <v>35258300</v>
      </c>
    </row>
    <row r="517" spans="2:9" x14ac:dyDescent="0.2">
      <c r="B517" s="62">
        <v>41991</v>
      </c>
      <c r="C517" s="72">
        <v>47.52</v>
      </c>
      <c r="D517" s="71">
        <v>40031480</v>
      </c>
      <c r="E517" s="66" t="s">
        <v>81</v>
      </c>
      <c r="F517" s="16">
        <f t="shared" si="13"/>
        <v>496</v>
      </c>
      <c r="G517" s="67" cm="1">
        <f t="array" ref="G517">INDEX($B$5:$B$1012, F517)</f>
        <v>42018</v>
      </c>
      <c r="H517" s="69" cm="1">
        <f t="array" ref="H517">INDEX($C$5:$C$1012, F517)</f>
        <v>45.954999999999998</v>
      </c>
      <c r="I517" s="70" cm="1">
        <f t="array" ref="I517">INDEX($D$5:$D$1012, F517)</f>
        <v>29713190</v>
      </c>
    </row>
    <row r="518" spans="2:9" x14ac:dyDescent="0.2">
      <c r="B518" s="62">
        <v>41990</v>
      </c>
      <c r="C518" s="72">
        <v>45.74</v>
      </c>
      <c r="D518" s="71">
        <v>34967260</v>
      </c>
      <c r="E518" s="66" t="s">
        <v>81</v>
      </c>
      <c r="F518" s="16">
        <f t="shared" ref="F518:F581" si="14">COUNT(B518:B1525)</f>
        <v>495</v>
      </c>
      <c r="G518" s="67" cm="1">
        <f t="array" ref="G518">INDEX($B$5:$B$1012, F518)</f>
        <v>42019</v>
      </c>
      <c r="H518" s="69" cm="1">
        <f t="array" ref="H518">INDEX($C$5:$C$1012, F518)</f>
        <v>45.48</v>
      </c>
      <c r="I518" s="70" cm="1">
        <f t="array" ref="I518">INDEX($D$5:$D$1012, F518)</f>
        <v>32744260</v>
      </c>
    </row>
    <row r="519" spans="2:9" x14ac:dyDescent="0.2">
      <c r="B519" s="62">
        <v>41989</v>
      </c>
      <c r="C519" s="72">
        <v>45.16</v>
      </c>
      <c r="D519" s="71">
        <v>47764300</v>
      </c>
      <c r="E519" s="66" t="s">
        <v>81</v>
      </c>
      <c r="F519" s="16">
        <f t="shared" si="14"/>
        <v>494</v>
      </c>
      <c r="G519" s="67" cm="1">
        <f t="array" ref="G519">INDEX($B$5:$B$1012, F519)</f>
        <v>42020</v>
      </c>
      <c r="H519" s="69" cm="1">
        <f t="array" ref="H519">INDEX($C$5:$C$1012, F519)</f>
        <v>46.24</v>
      </c>
      <c r="I519" s="70" cm="1">
        <f t="array" ref="I519">INDEX($D$5:$D$1012, F519)</f>
        <v>35683380</v>
      </c>
    </row>
    <row r="520" spans="2:9" x14ac:dyDescent="0.2">
      <c r="B520" s="62">
        <v>41988</v>
      </c>
      <c r="C520" s="72">
        <v>46.67</v>
      </c>
      <c r="D520" s="71">
        <v>29213490</v>
      </c>
      <c r="E520" s="66" t="s">
        <v>81</v>
      </c>
      <c r="F520" s="16">
        <f t="shared" si="14"/>
        <v>493</v>
      </c>
      <c r="G520" s="67" cm="1">
        <f t="array" ref="G520">INDEX($B$5:$B$1012, F520)</f>
        <v>42024</v>
      </c>
      <c r="H520" s="69" cm="1">
        <f t="array" ref="H520">INDEX($C$5:$C$1012, F520)</f>
        <v>46.39</v>
      </c>
      <c r="I520" s="70" cm="1">
        <f t="array" ref="I520">INDEX($D$5:$D$1012, F520)</f>
        <v>36121800</v>
      </c>
    </row>
    <row r="521" spans="2:9" x14ac:dyDescent="0.2">
      <c r="B521" s="62">
        <v>41985</v>
      </c>
      <c r="C521" s="72">
        <v>46.95</v>
      </c>
      <c r="D521" s="71">
        <v>34247280</v>
      </c>
      <c r="E521" s="66" t="s">
        <v>81</v>
      </c>
      <c r="F521" s="16">
        <f t="shared" si="14"/>
        <v>492</v>
      </c>
      <c r="G521" s="67" cm="1">
        <f t="array" ref="G521">INDEX($B$5:$B$1012, F521)</f>
        <v>42025</v>
      </c>
      <c r="H521" s="69" cm="1">
        <f t="array" ref="H521">INDEX($C$5:$C$1012, F521)</f>
        <v>45.92</v>
      </c>
      <c r="I521" s="70" cm="1">
        <f t="array" ref="I521">INDEX($D$5:$D$1012, F521)</f>
        <v>37113740</v>
      </c>
    </row>
    <row r="522" spans="2:9" x14ac:dyDescent="0.2">
      <c r="B522" s="62">
        <v>41984</v>
      </c>
      <c r="C522" s="72">
        <v>47.17</v>
      </c>
      <c r="D522" s="71">
        <v>29060360</v>
      </c>
      <c r="E522" s="66" t="s">
        <v>81</v>
      </c>
      <c r="F522" s="16">
        <f t="shared" si="14"/>
        <v>491</v>
      </c>
      <c r="G522" s="67" cm="1">
        <f t="array" ref="G522">INDEX($B$5:$B$1012, F522)</f>
        <v>42026</v>
      </c>
      <c r="H522" s="69" cm="1">
        <f t="array" ref="H522">INDEX($C$5:$C$1012, F522)</f>
        <v>47.13</v>
      </c>
      <c r="I522" s="70" cm="1">
        <f t="array" ref="I522">INDEX($D$5:$D$1012, F522)</f>
        <v>35842790</v>
      </c>
    </row>
    <row r="523" spans="2:9" x14ac:dyDescent="0.2">
      <c r="B523" s="62">
        <v>41983</v>
      </c>
      <c r="C523" s="72">
        <v>46.9</v>
      </c>
      <c r="D523" s="71">
        <v>30284690</v>
      </c>
      <c r="E523" s="66" t="s">
        <v>81</v>
      </c>
      <c r="F523" s="16">
        <f t="shared" si="14"/>
        <v>490</v>
      </c>
      <c r="G523" s="67" cm="1">
        <f t="array" ref="G523">INDEX($B$5:$B$1012, F523)</f>
        <v>42027</v>
      </c>
      <c r="H523" s="69" cm="1">
        <f t="array" ref="H523">INDEX($C$5:$C$1012, F523)</f>
        <v>47.18</v>
      </c>
      <c r="I523" s="70" cm="1">
        <f t="array" ref="I523">INDEX($D$5:$D$1012, F523)</f>
        <v>26136690</v>
      </c>
    </row>
    <row r="524" spans="2:9" x14ac:dyDescent="0.2">
      <c r="B524" s="62">
        <v>41982</v>
      </c>
      <c r="C524" s="72">
        <v>47.59</v>
      </c>
      <c r="D524" s="71">
        <v>24326090</v>
      </c>
      <c r="E524" s="66" t="s">
        <v>81</v>
      </c>
      <c r="F524" s="16">
        <f t="shared" si="14"/>
        <v>489</v>
      </c>
      <c r="G524" s="67" cm="1">
        <f t="array" ref="G524">INDEX($B$5:$B$1012, F524)</f>
        <v>42030</v>
      </c>
      <c r="H524" s="69" cm="1">
        <f t="array" ref="H524">INDEX($C$5:$C$1012, F524)</f>
        <v>47.01</v>
      </c>
      <c r="I524" s="70" cm="1">
        <f t="array" ref="I524">INDEX($D$5:$D$1012, F524)</f>
        <v>40995700</v>
      </c>
    </row>
    <row r="525" spans="2:9" x14ac:dyDescent="0.2">
      <c r="B525" s="62">
        <v>41981</v>
      </c>
      <c r="C525" s="72">
        <v>47.695</v>
      </c>
      <c r="D525" s="71">
        <v>26652610</v>
      </c>
      <c r="E525" s="66" t="s">
        <v>81</v>
      </c>
      <c r="F525" s="16">
        <f t="shared" si="14"/>
        <v>488</v>
      </c>
      <c r="G525" s="67" cm="1">
        <f t="array" ref="G525">INDEX($B$5:$B$1012, F525)</f>
        <v>42031</v>
      </c>
      <c r="H525" s="69" cm="1">
        <f t="array" ref="H525">INDEX($C$5:$C$1012, F525)</f>
        <v>42.66</v>
      </c>
      <c r="I525" s="70" cm="1">
        <f t="array" ref="I525">INDEX($D$5:$D$1012, F525)</f>
        <v>169115000</v>
      </c>
    </row>
    <row r="526" spans="2:9" x14ac:dyDescent="0.2">
      <c r="B526" s="62">
        <v>41978</v>
      </c>
      <c r="C526" s="72">
        <v>48.42</v>
      </c>
      <c r="D526" s="71">
        <v>26705270</v>
      </c>
      <c r="E526" s="66" t="s">
        <v>81</v>
      </c>
      <c r="F526" s="16">
        <f t="shared" si="14"/>
        <v>487</v>
      </c>
      <c r="G526" s="67" cm="1">
        <f t="array" ref="G526">INDEX($B$5:$B$1012, F526)</f>
        <v>42032</v>
      </c>
      <c r="H526" s="69" cm="1">
        <f t="array" ref="H526">INDEX($C$5:$C$1012, F526)</f>
        <v>41.19</v>
      </c>
      <c r="I526" s="70" cm="1">
        <f t="array" ref="I526">INDEX($D$5:$D$1012, F526)</f>
        <v>84453280</v>
      </c>
    </row>
    <row r="527" spans="2:9" x14ac:dyDescent="0.2">
      <c r="B527" s="62">
        <v>41977</v>
      </c>
      <c r="C527" s="72">
        <v>48.84</v>
      </c>
      <c r="D527" s="71">
        <v>30342050</v>
      </c>
      <c r="E527" s="66" t="s">
        <v>81</v>
      </c>
      <c r="F527" s="16">
        <f t="shared" si="14"/>
        <v>486</v>
      </c>
      <c r="G527" s="67" cm="1">
        <f t="array" ref="G527">INDEX($B$5:$B$1012, F527)</f>
        <v>42033</v>
      </c>
      <c r="H527" s="69" cm="1">
        <f t="array" ref="H527">INDEX($C$5:$C$1012, F527)</f>
        <v>42.01</v>
      </c>
      <c r="I527" s="70" cm="1">
        <f t="array" ref="I527">INDEX($D$5:$D$1012, F527)</f>
        <v>63551980</v>
      </c>
    </row>
    <row r="528" spans="2:9" x14ac:dyDescent="0.2">
      <c r="B528" s="62">
        <v>41976</v>
      </c>
      <c r="C528" s="72">
        <v>48.08</v>
      </c>
      <c r="D528" s="71">
        <v>23528130</v>
      </c>
      <c r="E528" s="66" t="s">
        <v>81</v>
      </c>
      <c r="F528" s="16">
        <f t="shared" si="14"/>
        <v>485</v>
      </c>
      <c r="G528" s="67" cm="1">
        <f t="array" ref="G528">INDEX($B$5:$B$1012, F528)</f>
        <v>42034</v>
      </c>
      <c r="H528" s="69" cm="1">
        <f t="array" ref="H528">INDEX($C$5:$C$1012, F528)</f>
        <v>40.4</v>
      </c>
      <c r="I528" s="70" cm="1">
        <f t="array" ref="I528">INDEX($D$5:$D$1012, F528)</f>
        <v>77983360</v>
      </c>
    </row>
    <row r="529" spans="2:9" x14ac:dyDescent="0.2">
      <c r="B529" s="62">
        <v>41975</v>
      </c>
      <c r="C529" s="72">
        <v>48.46</v>
      </c>
      <c r="D529" s="71">
        <v>25768100</v>
      </c>
      <c r="E529" s="66" t="s">
        <v>81</v>
      </c>
      <c r="F529" s="16">
        <f t="shared" si="14"/>
        <v>484</v>
      </c>
      <c r="G529" s="67" cm="1">
        <f t="array" ref="G529">INDEX($B$5:$B$1012, F529)</f>
        <v>42037</v>
      </c>
      <c r="H529" s="69" cm="1">
        <f t="array" ref="H529">INDEX($C$5:$C$1012, F529)</f>
        <v>41.28</v>
      </c>
      <c r="I529" s="70" cm="1">
        <f t="array" ref="I529">INDEX($D$5:$D$1012, F529)</f>
        <v>50274250</v>
      </c>
    </row>
    <row r="530" spans="2:9" x14ac:dyDescent="0.2">
      <c r="B530" s="62">
        <v>41974</v>
      </c>
      <c r="C530" s="72">
        <v>48.62</v>
      </c>
      <c r="D530" s="71">
        <v>31187680</v>
      </c>
      <c r="E530" s="66" t="s">
        <v>81</v>
      </c>
      <c r="F530" s="16">
        <f t="shared" si="14"/>
        <v>483</v>
      </c>
      <c r="G530" s="67" cm="1">
        <f t="array" ref="G530">INDEX($B$5:$B$1012, F530)</f>
        <v>42038</v>
      </c>
      <c r="H530" s="69" cm="1">
        <f t="array" ref="H530">INDEX($C$5:$C$1012, F530)</f>
        <v>41.6</v>
      </c>
      <c r="I530" s="70" cm="1">
        <f t="array" ref="I530">INDEX($D$5:$D$1012, F530)</f>
        <v>52068450</v>
      </c>
    </row>
    <row r="531" spans="2:9" x14ac:dyDescent="0.2">
      <c r="B531" s="62">
        <v>41971</v>
      </c>
      <c r="C531" s="72">
        <v>47.81</v>
      </c>
      <c r="D531" s="71">
        <v>21534430</v>
      </c>
      <c r="E531" s="66" t="s">
        <v>81</v>
      </c>
      <c r="F531" s="16">
        <f t="shared" si="14"/>
        <v>482</v>
      </c>
      <c r="G531" s="67" cm="1">
        <f t="array" ref="G531">INDEX($B$5:$B$1012, F531)</f>
        <v>42039</v>
      </c>
      <c r="H531" s="69" cm="1">
        <f t="array" ref="H531">INDEX($C$5:$C$1012, F531)</f>
        <v>41.84</v>
      </c>
      <c r="I531" s="70" cm="1">
        <f t="array" ref="I531">INDEX($D$5:$D$1012, F531)</f>
        <v>41585310</v>
      </c>
    </row>
    <row r="532" spans="2:9" x14ac:dyDescent="0.2">
      <c r="B532" s="62">
        <v>41969</v>
      </c>
      <c r="C532" s="72">
        <v>47.75</v>
      </c>
      <c r="D532" s="71">
        <v>27162850</v>
      </c>
      <c r="E532" s="66" t="s">
        <v>81</v>
      </c>
      <c r="F532" s="16">
        <f t="shared" si="14"/>
        <v>481</v>
      </c>
      <c r="G532" s="67" cm="1">
        <f t="array" ref="G532">INDEX($B$5:$B$1012, F532)</f>
        <v>42040</v>
      </c>
      <c r="H532" s="69" cm="1">
        <f t="array" ref="H532">INDEX($C$5:$C$1012, F532)</f>
        <v>42.45</v>
      </c>
      <c r="I532" s="70" cm="1">
        <f t="array" ref="I532">INDEX($D$5:$D$1012, F532)</f>
        <v>36543020</v>
      </c>
    </row>
    <row r="533" spans="2:9" x14ac:dyDescent="0.2">
      <c r="B533" s="62">
        <v>41968</v>
      </c>
      <c r="C533" s="72">
        <v>47.47</v>
      </c>
      <c r="D533" s="71">
        <v>27951120</v>
      </c>
      <c r="E533" s="66" t="s">
        <v>81</v>
      </c>
      <c r="F533" s="16">
        <f t="shared" si="14"/>
        <v>480</v>
      </c>
      <c r="G533" s="67" cm="1">
        <f t="array" ref="G533">INDEX($B$5:$B$1012, F533)</f>
        <v>42041</v>
      </c>
      <c r="H533" s="69" cm="1">
        <f t="array" ref="H533">INDEX($C$5:$C$1012, F533)</f>
        <v>42.41</v>
      </c>
      <c r="I533" s="70" cm="1">
        <f t="array" ref="I533">INDEX($D$5:$D$1012, F533)</f>
        <v>34612420</v>
      </c>
    </row>
    <row r="534" spans="2:9" x14ac:dyDescent="0.2">
      <c r="B534" s="62">
        <v>41967</v>
      </c>
      <c r="C534" s="72">
        <v>47.59</v>
      </c>
      <c r="D534" s="71">
        <v>34266860</v>
      </c>
      <c r="E534" s="66" t="s">
        <v>81</v>
      </c>
      <c r="F534" s="16">
        <f t="shared" si="14"/>
        <v>479</v>
      </c>
      <c r="G534" s="67" cm="1">
        <f t="array" ref="G534">INDEX($B$5:$B$1012, F534)</f>
        <v>42044</v>
      </c>
      <c r="H534" s="69" cm="1">
        <f t="array" ref="H534">INDEX($C$5:$C$1012, F534)</f>
        <v>42.36</v>
      </c>
      <c r="I534" s="70" cm="1">
        <f t="array" ref="I534">INDEX($D$5:$D$1012, F534)</f>
        <v>27416280</v>
      </c>
    </row>
    <row r="535" spans="2:9" x14ac:dyDescent="0.2">
      <c r="B535" s="62">
        <v>41964</v>
      </c>
      <c r="C535" s="72">
        <v>47.98</v>
      </c>
      <c r="D535" s="71">
        <v>42867970</v>
      </c>
      <c r="E535" s="66" t="s">
        <v>81</v>
      </c>
      <c r="F535" s="16">
        <f t="shared" si="14"/>
        <v>478</v>
      </c>
      <c r="G535" s="67" cm="1">
        <f t="array" ref="G535">INDEX($B$5:$B$1012, F535)</f>
        <v>42045</v>
      </c>
      <c r="H535" s="69" cm="1">
        <f t="array" ref="H535">INDEX($C$5:$C$1012, F535)</f>
        <v>42.6</v>
      </c>
      <c r="I535" s="70" cm="1">
        <f t="array" ref="I535">INDEX($D$5:$D$1012, F535)</f>
        <v>29655280</v>
      </c>
    </row>
    <row r="536" spans="2:9" x14ac:dyDescent="0.2">
      <c r="B536" s="62">
        <v>41963</v>
      </c>
      <c r="C536" s="72">
        <v>48.7</v>
      </c>
      <c r="D536" s="71">
        <v>21486310</v>
      </c>
      <c r="E536" s="66" t="s">
        <v>81</v>
      </c>
      <c r="F536" s="16">
        <f t="shared" si="14"/>
        <v>477</v>
      </c>
      <c r="G536" s="67" cm="1">
        <f t="array" ref="G536">INDEX($B$5:$B$1012, F536)</f>
        <v>42046</v>
      </c>
      <c r="H536" s="69" cm="1">
        <f t="array" ref="H536">INDEX($C$5:$C$1012, F536)</f>
        <v>42.38</v>
      </c>
      <c r="I536" s="70" cm="1">
        <f t="array" ref="I536">INDEX($D$5:$D$1012, F536)</f>
        <v>38248500</v>
      </c>
    </row>
    <row r="537" spans="2:9" x14ac:dyDescent="0.2">
      <c r="B537" s="62">
        <v>41962</v>
      </c>
      <c r="C537" s="72">
        <v>48.22</v>
      </c>
      <c r="D537" s="71">
        <v>26166200</v>
      </c>
      <c r="E537" s="66" t="s">
        <v>81</v>
      </c>
      <c r="F537" s="16">
        <f t="shared" si="14"/>
        <v>476</v>
      </c>
      <c r="G537" s="67" cm="1">
        <f t="array" ref="G537">INDEX($B$5:$B$1012, F537)</f>
        <v>42047</v>
      </c>
      <c r="H537" s="69" cm="1">
        <f t="array" ref="H537">INDEX($C$5:$C$1012, F537)</f>
        <v>43.09</v>
      </c>
      <c r="I537" s="70" cm="1">
        <f t="array" ref="I537">INDEX($D$5:$D$1012, F537)</f>
        <v>33238000</v>
      </c>
    </row>
    <row r="538" spans="2:9" x14ac:dyDescent="0.2">
      <c r="B538" s="62">
        <v>41961</v>
      </c>
      <c r="C538" s="72">
        <v>48.74</v>
      </c>
      <c r="D538" s="71">
        <v>23938060</v>
      </c>
      <c r="E538" s="66" t="s">
        <v>81</v>
      </c>
      <c r="F538" s="16">
        <f t="shared" si="14"/>
        <v>475</v>
      </c>
      <c r="G538" s="67" cm="1">
        <f t="array" ref="G538">INDEX($B$5:$B$1012, F538)</f>
        <v>42048</v>
      </c>
      <c r="H538" s="69" cm="1">
        <f t="array" ref="H538">INDEX($C$5:$C$1012, F538)</f>
        <v>43.87</v>
      </c>
      <c r="I538" s="70" cm="1">
        <f t="array" ref="I538">INDEX($D$5:$D$1012, F538)</f>
        <v>40112080</v>
      </c>
    </row>
    <row r="539" spans="2:9" x14ac:dyDescent="0.2">
      <c r="B539" s="62">
        <v>41960</v>
      </c>
      <c r="C539" s="72">
        <v>49.46</v>
      </c>
      <c r="D539" s="71">
        <v>30309630</v>
      </c>
      <c r="E539" s="66" t="s">
        <v>81</v>
      </c>
      <c r="F539" s="16">
        <f t="shared" si="14"/>
        <v>474</v>
      </c>
      <c r="G539" s="67" cm="1">
        <f t="array" ref="G539">INDEX($B$5:$B$1012, F539)</f>
        <v>42052</v>
      </c>
      <c r="H539" s="69" cm="1">
        <f t="array" ref="H539">INDEX($C$5:$C$1012, F539)</f>
        <v>43.58</v>
      </c>
      <c r="I539" s="70" cm="1">
        <f t="array" ref="I539">INDEX($D$5:$D$1012, F539)</f>
        <v>33692870</v>
      </c>
    </row>
    <row r="540" spans="2:9" x14ac:dyDescent="0.2">
      <c r="B540" s="62">
        <v>41957</v>
      </c>
      <c r="C540" s="72">
        <v>49.58</v>
      </c>
      <c r="D540" s="71">
        <v>29074940</v>
      </c>
      <c r="E540" s="66" t="s">
        <v>81</v>
      </c>
      <c r="F540" s="16">
        <f t="shared" si="14"/>
        <v>473</v>
      </c>
      <c r="G540" s="67" cm="1">
        <f t="array" ref="G540">INDEX($B$5:$B$1012, F540)</f>
        <v>42053</v>
      </c>
      <c r="H540" s="69" cm="1">
        <f t="array" ref="H540">INDEX($C$5:$C$1012, F540)</f>
        <v>43.53</v>
      </c>
      <c r="I540" s="70" cm="1">
        <f t="array" ref="I540">INDEX($D$5:$D$1012, F540)</f>
        <v>27105640</v>
      </c>
    </row>
    <row r="541" spans="2:9" x14ac:dyDescent="0.2">
      <c r="B541" s="62">
        <v>41956</v>
      </c>
      <c r="C541" s="72">
        <v>49.61</v>
      </c>
      <c r="D541" s="71">
        <v>26207930</v>
      </c>
      <c r="E541" s="66" t="s">
        <v>81</v>
      </c>
      <c r="F541" s="16">
        <f t="shared" si="14"/>
        <v>472</v>
      </c>
      <c r="G541" s="67" cm="1">
        <f t="array" ref="G541">INDEX($B$5:$B$1012, F541)</f>
        <v>42054</v>
      </c>
      <c r="H541" s="69" cm="1">
        <f t="array" ref="H541">INDEX($C$5:$C$1012, F541)</f>
        <v>43.5</v>
      </c>
      <c r="I541" s="70" cm="1">
        <f t="array" ref="I541">INDEX($D$5:$D$1012, F541)</f>
        <v>27598050</v>
      </c>
    </row>
    <row r="542" spans="2:9" x14ac:dyDescent="0.2">
      <c r="B542" s="62">
        <v>41955</v>
      </c>
      <c r="C542" s="72">
        <v>48.78</v>
      </c>
      <c r="D542" s="71">
        <v>22721330</v>
      </c>
      <c r="E542" s="66" t="s">
        <v>81</v>
      </c>
      <c r="F542" s="16">
        <f t="shared" si="14"/>
        <v>471</v>
      </c>
      <c r="G542" s="67" cm="1">
        <f t="array" ref="G542">INDEX($B$5:$B$1012, F542)</f>
        <v>42055</v>
      </c>
      <c r="H542" s="69" cm="1">
        <f t="array" ref="H542">INDEX($C$5:$C$1012, F542)</f>
        <v>43.854999999999997</v>
      </c>
      <c r="I542" s="70" cm="1">
        <f t="array" ref="I542">INDEX($D$5:$D$1012, F542)</f>
        <v>29710140</v>
      </c>
    </row>
    <row r="543" spans="2:9" x14ac:dyDescent="0.2">
      <c r="B543" s="62">
        <v>41954</v>
      </c>
      <c r="C543" s="72">
        <v>48.87</v>
      </c>
      <c r="D543" s="71">
        <v>22180480</v>
      </c>
      <c r="E543" s="66" t="s">
        <v>81</v>
      </c>
      <c r="F543" s="16">
        <f t="shared" si="14"/>
        <v>470</v>
      </c>
      <c r="G543" s="67" cm="1">
        <f t="array" ref="G543">INDEX($B$5:$B$1012, F543)</f>
        <v>42058</v>
      </c>
      <c r="H543" s="69" cm="1">
        <f t="array" ref="H543">INDEX($C$5:$C$1012, F543)</f>
        <v>44.15</v>
      </c>
      <c r="I543" s="70" cm="1">
        <f t="array" ref="I543">INDEX($D$5:$D$1012, F543)</f>
        <v>32510550</v>
      </c>
    </row>
    <row r="544" spans="2:9" x14ac:dyDescent="0.2">
      <c r="B544" s="62">
        <v>41953</v>
      </c>
      <c r="C544" s="72">
        <v>48.89</v>
      </c>
      <c r="D544" s="71">
        <v>36364840</v>
      </c>
      <c r="E544" s="66" t="s">
        <v>81</v>
      </c>
      <c r="F544" s="16">
        <f t="shared" si="14"/>
        <v>469</v>
      </c>
      <c r="G544" s="67" cm="1">
        <f t="array" ref="G544">INDEX($B$5:$B$1012, F544)</f>
        <v>42059</v>
      </c>
      <c r="H544" s="69" cm="1">
        <f t="array" ref="H544">INDEX($C$5:$C$1012, F544)</f>
        <v>44.09</v>
      </c>
      <c r="I544" s="70" cm="1">
        <f t="array" ref="I544">INDEX($D$5:$D$1012, F544)</f>
        <v>25262080</v>
      </c>
    </row>
    <row r="545" spans="2:9" x14ac:dyDescent="0.2">
      <c r="B545" s="62">
        <v>41950</v>
      </c>
      <c r="C545" s="72">
        <v>48.68</v>
      </c>
      <c r="D545" s="71">
        <v>27987700</v>
      </c>
      <c r="E545" s="66" t="s">
        <v>81</v>
      </c>
      <c r="F545" s="16">
        <f t="shared" si="14"/>
        <v>468</v>
      </c>
      <c r="G545" s="67" cm="1">
        <f t="array" ref="G545">INDEX($B$5:$B$1012, F545)</f>
        <v>42060</v>
      </c>
      <c r="H545" s="69" cm="1">
        <f t="array" ref="H545">INDEX($C$5:$C$1012, F545)</f>
        <v>43.99</v>
      </c>
      <c r="I545" s="70" cm="1">
        <f t="array" ref="I545">INDEX($D$5:$D$1012, F545)</f>
        <v>29749090</v>
      </c>
    </row>
    <row r="546" spans="2:9" x14ac:dyDescent="0.2">
      <c r="B546" s="62">
        <v>41949</v>
      </c>
      <c r="C546" s="72">
        <v>48.7</v>
      </c>
      <c r="D546" s="71">
        <v>33033070</v>
      </c>
      <c r="E546" s="66" t="s">
        <v>81</v>
      </c>
      <c r="F546" s="16">
        <f t="shared" si="14"/>
        <v>467</v>
      </c>
      <c r="G546" s="67" cm="1">
        <f t="array" ref="G546">INDEX($B$5:$B$1012, F546)</f>
        <v>42061</v>
      </c>
      <c r="H546" s="69" cm="1">
        <f t="array" ref="H546">INDEX($C$5:$C$1012, F546)</f>
        <v>44.055</v>
      </c>
      <c r="I546" s="70" cm="1">
        <f t="array" ref="I546">INDEX($D$5:$D$1012, F546)</f>
        <v>26524300</v>
      </c>
    </row>
    <row r="547" spans="2:9" x14ac:dyDescent="0.2">
      <c r="B547" s="62">
        <v>41948</v>
      </c>
      <c r="C547" s="72">
        <v>47.86</v>
      </c>
      <c r="D547" s="71">
        <v>22447160</v>
      </c>
      <c r="E547" s="66" t="s">
        <v>81</v>
      </c>
      <c r="F547" s="16">
        <f t="shared" si="14"/>
        <v>466</v>
      </c>
      <c r="G547" s="67" cm="1">
        <f t="array" ref="G547">INDEX($B$5:$B$1012, F547)</f>
        <v>42062</v>
      </c>
      <c r="H547" s="69" cm="1">
        <f t="array" ref="H547">INDEX($C$5:$C$1012, F547)</f>
        <v>43.85</v>
      </c>
      <c r="I547" s="70" cm="1">
        <f t="array" ref="I547">INDEX($D$5:$D$1012, F547)</f>
        <v>33784370</v>
      </c>
    </row>
    <row r="548" spans="2:9" x14ac:dyDescent="0.2">
      <c r="B548" s="62">
        <v>41947</v>
      </c>
      <c r="C548" s="72">
        <v>47.57</v>
      </c>
      <c r="D548" s="71">
        <v>21287870</v>
      </c>
      <c r="E548" s="66" t="s">
        <v>81</v>
      </c>
      <c r="F548" s="16">
        <f t="shared" si="14"/>
        <v>465</v>
      </c>
      <c r="G548" s="67" cm="1">
        <f t="array" ref="G548">INDEX($B$5:$B$1012, F548)</f>
        <v>42065</v>
      </c>
      <c r="H548" s="69" cm="1">
        <f t="array" ref="H548">INDEX($C$5:$C$1012, F548)</f>
        <v>43.88</v>
      </c>
      <c r="I548" s="70" cm="1">
        <f t="array" ref="I548">INDEX($D$5:$D$1012, F548)</f>
        <v>31766030</v>
      </c>
    </row>
    <row r="549" spans="2:9" x14ac:dyDescent="0.2">
      <c r="B549" s="62">
        <v>41946</v>
      </c>
      <c r="C549" s="72">
        <v>47.44</v>
      </c>
      <c r="D549" s="71">
        <v>23078100</v>
      </c>
      <c r="E549" s="66" t="s">
        <v>81</v>
      </c>
      <c r="F549" s="16">
        <f t="shared" si="14"/>
        <v>464</v>
      </c>
      <c r="G549" s="67" cm="1">
        <f t="array" ref="G549">INDEX($B$5:$B$1012, F549)</f>
        <v>42066</v>
      </c>
      <c r="H549" s="69" cm="1">
        <f t="array" ref="H549">INDEX($C$5:$C$1012, F549)</f>
        <v>43.28</v>
      </c>
      <c r="I549" s="70" cm="1">
        <f t="array" ref="I549">INDEX($D$5:$D$1012, F549)</f>
        <v>31685600</v>
      </c>
    </row>
    <row r="550" spans="2:9" x14ac:dyDescent="0.2">
      <c r="B550" s="62">
        <v>41943</v>
      </c>
      <c r="C550" s="72">
        <v>46.95</v>
      </c>
      <c r="D550" s="71">
        <v>35826980</v>
      </c>
      <c r="E550" s="66" t="s">
        <v>81</v>
      </c>
      <c r="F550" s="16">
        <f t="shared" si="14"/>
        <v>463</v>
      </c>
      <c r="G550" s="67" cm="1">
        <f t="array" ref="G550">INDEX($B$5:$B$1012, F550)</f>
        <v>42067</v>
      </c>
      <c r="H550" s="69" cm="1">
        <f t="array" ref="H550">INDEX($C$5:$C$1012, F550)</f>
        <v>43.055</v>
      </c>
      <c r="I550" s="70" cm="1">
        <f t="array" ref="I550">INDEX($D$5:$D$1012, F550)</f>
        <v>25746840</v>
      </c>
    </row>
    <row r="551" spans="2:9" x14ac:dyDescent="0.2">
      <c r="B551" s="62">
        <v>41942</v>
      </c>
      <c r="C551" s="72">
        <v>46.05</v>
      </c>
      <c r="D551" s="71">
        <v>30040850</v>
      </c>
      <c r="E551" s="66" t="s">
        <v>81</v>
      </c>
      <c r="F551" s="16">
        <f t="shared" si="14"/>
        <v>462</v>
      </c>
      <c r="G551" s="67" cm="1">
        <f t="array" ref="G551">INDEX($B$5:$B$1012, F551)</f>
        <v>42068</v>
      </c>
      <c r="H551" s="69" cm="1">
        <f t="array" ref="H551">INDEX($C$5:$C$1012, F551)</f>
        <v>43.11</v>
      </c>
      <c r="I551" s="70" cm="1">
        <f t="array" ref="I551">INDEX($D$5:$D$1012, F551)</f>
        <v>23176110</v>
      </c>
    </row>
    <row r="552" spans="2:9" x14ac:dyDescent="0.2">
      <c r="B552" s="62">
        <v>41941</v>
      </c>
      <c r="C552" s="72">
        <v>46.62</v>
      </c>
      <c r="D552" s="71">
        <v>30274720</v>
      </c>
      <c r="E552" s="66" t="s">
        <v>81</v>
      </c>
      <c r="F552" s="16">
        <f t="shared" si="14"/>
        <v>461</v>
      </c>
      <c r="G552" s="67" cm="1">
        <f t="array" ref="G552">INDEX($B$5:$B$1012, F552)</f>
        <v>42069</v>
      </c>
      <c r="H552" s="69" cm="1">
        <f t="array" ref="H552">INDEX($C$5:$C$1012, F552)</f>
        <v>42.36</v>
      </c>
      <c r="I552" s="70" cm="1">
        <f t="array" ref="I552">INDEX($D$5:$D$1012, F552)</f>
        <v>36120570</v>
      </c>
    </row>
    <row r="553" spans="2:9" x14ac:dyDescent="0.2">
      <c r="B553" s="62">
        <v>41940</v>
      </c>
      <c r="C553" s="72">
        <v>46.49</v>
      </c>
      <c r="D553" s="71">
        <v>29001420</v>
      </c>
      <c r="E553" s="66" t="s">
        <v>81</v>
      </c>
      <c r="F553" s="16">
        <f t="shared" si="14"/>
        <v>460</v>
      </c>
      <c r="G553" s="67" cm="1">
        <f t="array" ref="G553">INDEX($B$5:$B$1012, F553)</f>
        <v>42072</v>
      </c>
      <c r="H553" s="69" cm="1">
        <f t="array" ref="H553">INDEX($C$5:$C$1012, F553)</f>
        <v>42.85</v>
      </c>
      <c r="I553" s="70" cm="1">
        <f t="array" ref="I553">INDEX($D$5:$D$1012, F553)</f>
        <v>32106530</v>
      </c>
    </row>
    <row r="554" spans="2:9" x14ac:dyDescent="0.2">
      <c r="B554" s="62">
        <v>41939</v>
      </c>
      <c r="C554" s="72">
        <v>45.91</v>
      </c>
      <c r="D554" s="71">
        <v>30319900</v>
      </c>
      <c r="E554" s="66" t="s">
        <v>81</v>
      </c>
      <c r="F554" s="16">
        <f t="shared" si="14"/>
        <v>459</v>
      </c>
      <c r="G554" s="67" cm="1">
        <f t="array" ref="G554">INDEX($B$5:$B$1012, F554)</f>
        <v>42073</v>
      </c>
      <c r="H554" s="69" cm="1">
        <f t="array" ref="H554">INDEX($C$5:$C$1012, F554)</f>
        <v>42.03</v>
      </c>
      <c r="I554" s="70" cm="1">
        <f t="array" ref="I554">INDEX($D$5:$D$1012, F554)</f>
        <v>39158290</v>
      </c>
    </row>
    <row r="555" spans="2:9" x14ac:dyDescent="0.2">
      <c r="B555" s="62">
        <v>41936</v>
      </c>
      <c r="C555" s="72">
        <v>46.13</v>
      </c>
      <c r="D555" s="71">
        <v>61053110</v>
      </c>
      <c r="E555" s="66" t="s">
        <v>81</v>
      </c>
      <c r="F555" s="16">
        <f t="shared" si="14"/>
        <v>458</v>
      </c>
      <c r="G555" s="67" cm="1">
        <f t="array" ref="G555">INDEX($B$5:$B$1012, F555)</f>
        <v>42074</v>
      </c>
      <c r="H555" s="69" cm="1">
        <f t="array" ref="H555">INDEX($C$5:$C$1012, F555)</f>
        <v>41.98</v>
      </c>
      <c r="I555" s="70" cm="1">
        <f t="array" ref="I555">INDEX($D$5:$D$1012, F555)</f>
        <v>32214780</v>
      </c>
    </row>
    <row r="556" spans="2:9" x14ac:dyDescent="0.2">
      <c r="B556" s="62">
        <v>41935</v>
      </c>
      <c r="C556" s="72">
        <v>45.02</v>
      </c>
      <c r="D556" s="71">
        <v>43844860</v>
      </c>
      <c r="E556" s="66" t="s">
        <v>81</v>
      </c>
      <c r="F556" s="16">
        <f t="shared" si="14"/>
        <v>457</v>
      </c>
      <c r="G556" s="67" cm="1">
        <f t="array" ref="G556">INDEX($B$5:$B$1012, F556)</f>
        <v>42075</v>
      </c>
      <c r="H556" s="69" cm="1">
        <f t="array" ref="H556">INDEX($C$5:$C$1012, F556)</f>
        <v>41.02</v>
      </c>
      <c r="I556" s="70" cm="1">
        <f t="array" ref="I556">INDEX($D$5:$D$1012, F556)</f>
        <v>59984700</v>
      </c>
    </row>
    <row r="557" spans="2:9" x14ac:dyDescent="0.2">
      <c r="B557" s="62">
        <v>41934</v>
      </c>
      <c r="C557" s="72">
        <v>44.38</v>
      </c>
      <c r="D557" s="71">
        <v>33570230</v>
      </c>
      <c r="E557" s="66" t="s">
        <v>81</v>
      </c>
      <c r="F557" s="16">
        <f t="shared" si="14"/>
        <v>456</v>
      </c>
      <c r="G557" s="67" cm="1">
        <f t="array" ref="G557">INDEX($B$5:$B$1012, F557)</f>
        <v>42076</v>
      </c>
      <c r="H557" s="69" cm="1">
        <f t="array" ref="H557">INDEX($C$5:$C$1012, F557)</f>
        <v>41.38</v>
      </c>
      <c r="I557" s="70" cm="1">
        <f t="array" ref="I557">INDEX($D$5:$D$1012, F557)</f>
        <v>57972120</v>
      </c>
    </row>
    <row r="558" spans="2:9" x14ac:dyDescent="0.2">
      <c r="B558" s="62">
        <v>41933</v>
      </c>
      <c r="C558" s="72">
        <v>44.88</v>
      </c>
      <c r="D558" s="71">
        <v>36234890</v>
      </c>
      <c r="E558" s="66" t="s">
        <v>81</v>
      </c>
      <c r="F558" s="16">
        <f t="shared" si="14"/>
        <v>455</v>
      </c>
      <c r="G558" s="67" cm="1">
        <f t="array" ref="G558">INDEX($B$5:$B$1012, F558)</f>
        <v>42079</v>
      </c>
      <c r="H558" s="69" cm="1">
        <f t="array" ref="H558">INDEX($C$5:$C$1012, F558)</f>
        <v>41.56</v>
      </c>
      <c r="I558" s="70" cm="1">
        <f t="array" ref="I558">INDEX($D$5:$D$1012, F558)</f>
        <v>35257510</v>
      </c>
    </row>
    <row r="559" spans="2:9" x14ac:dyDescent="0.2">
      <c r="B559" s="62">
        <v>41932</v>
      </c>
      <c r="C559" s="72">
        <v>44.08</v>
      </c>
      <c r="D559" s="71">
        <v>34523930</v>
      </c>
      <c r="E559" s="66" t="s">
        <v>81</v>
      </c>
      <c r="F559" s="16">
        <f t="shared" si="14"/>
        <v>454</v>
      </c>
      <c r="G559" s="67" cm="1">
        <f t="array" ref="G559">INDEX($B$5:$B$1012, F559)</f>
        <v>42080</v>
      </c>
      <c r="H559" s="69" cm="1">
        <f t="array" ref="H559">INDEX($C$5:$C$1012, F559)</f>
        <v>41.695</v>
      </c>
      <c r="I559" s="70" cm="1">
        <f t="array" ref="I559">INDEX($D$5:$D$1012, F559)</f>
        <v>31669340</v>
      </c>
    </row>
    <row r="560" spans="2:9" x14ac:dyDescent="0.2">
      <c r="B560" s="62">
        <v>41929</v>
      </c>
      <c r="C560" s="72">
        <v>43.63</v>
      </c>
      <c r="D560" s="71">
        <v>40654940</v>
      </c>
      <c r="E560" s="66" t="s">
        <v>81</v>
      </c>
      <c r="F560" s="16">
        <f t="shared" si="14"/>
        <v>453</v>
      </c>
      <c r="G560" s="67" cm="1">
        <f t="array" ref="G560">INDEX($B$5:$B$1012, F560)</f>
        <v>42081</v>
      </c>
      <c r="H560" s="69" cm="1">
        <f t="array" ref="H560">INDEX($C$5:$C$1012, F560)</f>
        <v>42.5</v>
      </c>
      <c r="I560" s="70" cm="1">
        <f t="array" ref="I560">INDEX($D$5:$D$1012, F560)</f>
        <v>44178520</v>
      </c>
    </row>
    <row r="561" spans="2:9" x14ac:dyDescent="0.2">
      <c r="B561" s="62">
        <v>41928</v>
      </c>
      <c r="C561" s="72">
        <v>42.74</v>
      </c>
      <c r="D561" s="71">
        <v>49007120</v>
      </c>
      <c r="E561" s="66" t="s">
        <v>81</v>
      </c>
      <c r="F561" s="16">
        <f t="shared" si="14"/>
        <v>452</v>
      </c>
      <c r="G561" s="67" cm="1">
        <f t="array" ref="G561">INDEX($B$5:$B$1012, F561)</f>
        <v>42082</v>
      </c>
      <c r="H561" s="69" cm="1">
        <f t="array" ref="H561">INDEX($C$5:$C$1012, F561)</f>
        <v>42.284999999999997</v>
      </c>
      <c r="I561" s="70" cm="1">
        <f t="array" ref="I561">INDEX($D$5:$D$1012, F561)</f>
        <v>33836100</v>
      </c>
    </row>
    <row r="562" spans="2:9" x14ac:dyDescent="0.2">
      <c r="B562" s="62">
        <v>41927</v>
      </c>
      <c r="C562" s="72">
        <v>43.22</v>
      </c>
      <c r="D562" s="71">
        <v>60188290</v>
      </c>
      <c r="E562" s="66" t="s">
        <v>81</v>
      </c>
      <c r="F562" s="16">
        <f t="shared" si="14"/>
        <v>451</v>
      </c>
      <c r="G562" s="67" cm="1">
        <f t="array" ref="G562">INDEX($B$5:$B$1012, F562)</f>
        <v>42083</v>
      </c>
      <c r="H562" s="69" cm="1">
        <f t="array" ref="H562">INDEX($C$5:$C$1012, F562)</f>
        <v>42.88</v>
      </c>
      <c r="I562" s="70" cm="1">
        <f t="array" ref="I562">INDEX($D$5:$D$1012, F562)</f>
        <v>71754700</v>
      </c>
    </row>
    <row r="563" spans="2:9" x14ac:dyDescent="0.2">
      <c r="B563" s="62">
        <v>41926</v>
      </c>
      <c r="C563" s="72">
        <v>43.73</v>
      </c>
      <c r="D563" s="71">
        <v>38097300</v>
      </c>
      <c r="E563" s="66" t="s">
        <v>81</v>
      </c>
      <c r="F563" s="16">
        <f t="shared" si="14"/>
        <v>450</v>
      </c>
      <c r="G563" s="67" cm="1">
        <f t="array" ref="G563">INDEX($B$5:$B$1012, F563)</f>
        <v>42086</v>
      </c>
      <c r="H563" s="69" cm="1">
        <f t="array" ref="H563">INDEX($C$5:$C$1012, F563)</f>
        <v>42.854999999999997</v>
      </c>
      <c r="I563" s="70" cm="1">
        <f t="array" ref="I563">INDEX($D$5:$D$1012, F563)</f>
        <v>26233420</v>
      </c>
    </row>
    <row r="564" spans="2:9" x14ac:dyDescent="0.2">
      <c r="B564" s="62">
        <v>41925</v>
      </c>
      <c r="C564" s="72">
        <v>43.65</v>
      </c>
      <c r="D564" s="71">
        <v>37020680</v>
      </c>
      <c r="E564" s="66" t="s">
        <v>81</v>
      </c>
      <c r="F564" s="16">
        <f t="shared" si="14"/>
        <v>449</v>
      </c>
      <c r="G564" s="67" cm="1">
        <f t="array" ref="G564">INDEX($B$5:$B$1012, F564)</f>
        <v>42087</v>
      </c>
      <c r="H564" s="69" cm="1">
        <f t="array" ref="H564">INDEX($C$5:$C$1012, F564)</f>
        <v>42.9</v>
      </c>
      <c r="I564" s="70" cm="1">
        <f t="array" ref="I564">INDEX($D$5:$D$1012, F564)</f>
        <v>25453110</v>
      </c>
    </row>
    <row r="565" spans="2:9" x14ac:dyDescent="0.2">
      <c r="B565" s="62">
        <v>41922</v>
      </c>
      <c r="C565" s="72">
        <v>44.03</v>
      </c>
      <c r="D565" s="71">
        <v>51877600</v>
      </c>
      <c r="E565" s="66" t="s">
        <v>81</v>
      </c>
      <c r="F565" s="16">
        <f t="shared" si="14"/>
        <v>448</v>
      </c>
      <c r="G565" s="67" cm="1">
        <f t="array" ref="G565">INDEX($B$5:$B$1012, F565)</f>
        <v>42088</v>
      </c>
      <c r="H565" s="69" cm="1">
        <f t="array" ref="H565">INDEX($C$5:$C$1012, F565)</f>
        <v>41.46</v>
      </c>
      <c r="I565" s="70" cm="1">
        <f t="array" ref="I565">INDEX($D$5:$D$1012, F565)</f>
        <v>43427180</v>
      </c>
    </row>
    <row r="566" spans="2:9" x14ac:dyDescent="0.2">
      <c r="B566" s="62">
        <v>41921</v>
      </c>
      <c r="C566" s="72">
        <v>45.85</v>
      </c>
      <c r="D566" s="71">
        <v>34422150</v>
      </c>
      <c r="E566" s="66" t="s">
        <v>81</v>
      </c>
      <c r="F566" s="16">
        <f t="shared" si="14"/>
        <v>447</v>
      </c>
      <c r="G566" s="67" cm="1">
        <f t="array" ref="G566">INDEX($B$5:$B$1012, F566)</f>
        <v>42089</v>
      </c>
      <c r="H566" s="69" cm="1">
        <f t="array" ref="H566">INDEX($C$5:$C$1012, F566)</f>
        <v>41.21</v>
      </c>
      <c r="I566" s="70" cm="1">
        <f t="array" ref="I566">INDEX($D$5:$D$1012, F566)</f>
        <v>37483900</v>
      </c>
    </row>
    <row r="567" spans="2:9" x14ac:dyDescent="0.2">
      <c r="B567" s="62">
        <v>41920</v>
      </c>
      <c r="C567" s="72">
        <v>46.78</v>
      </c>
      <c r="D567" s="71">
        <v>32977510</v>
      </c>
      <c r="E567" s="66" t="s">
        <v>81</v>
      </c>
      <c r="F567" s="16">
        <f t="shared" si="14"/>
        <v>446</v>
      </c>
      <c r="G567" s="67" cm="1">
        <f t="array" ref="G567">INDEX($B$5:$B$1012, F567)</f>
        <v>42090</v>
      </c>
      <c r="H567" s="69" cm="1">
        <f t="array" ref="H567">INDEX($C$5:$C$1012, F567)</f>
        <v>40.97</v>
      </c>
      <c r="I567" s="70" cm="1">
        <f t="array" ref="I567">INDEX($D$5:$D$1012, F567)</f>
        <v>33980410</v>
      </c>
    </row>
    <row r="568" spans="2:9" x14ac:dyDescent="0.2">
      <c r="B568" s="62">
        <v>41919</v>
      </c>
      <c r="C568" s="72">
        <v>45.53</v>
      </c>
      <c r="D568" s="71">
        <v>25617210</v>
      </c>
      <c r="E568" s="66" t="s">
        <v>81</v>
      </c>
      <c r="F568" s="16">
        <f t="shared" si="14"/>
        <v>445</v>
      </c>
      <c r="G568" s="67" cm="1">
        <f t="array" ref="G568">INDEX($B$5:$B$1012, F568)</f>
        <v>42093</v>
      </c>
      <c r="H568" s="69" cm="1">
        <f t="array" ref="H568">INDEX($C$5:$C$1012, F568)</f>
        <v>40.96</v>
      </c>
      <c r="I568" s="70" cm="1">
        <f t="array" ref="I568">INDEX($D$5:$D$1012, F568)</f>
        <v>34999850</v>
      </c>
    </row>
    <row r="569" spans="2:9" x14ac:dyDescent="0.2">
      <c r="B569" s="62">
        <v>41918</v>
      </c>
      <c r="C569" s="72">
        <v>46.09</v>
      </c>
      <c r="D569" s="71">
        <v>20532430</v>
      </c>
      <c r="E569" s="66" t="s">
        <v>81</v>
      </c>
      <c r="F569" s="16">
        <f t="shared" si="14"/>
        <v>444</v>
      </c>
      <c r="G569" s="67" cm="1">
        <f t="array" ref="G569">INDEX($B$5:$B$1012, F569)</f>
        <v>42094</v>
      </c>
      <c r="H569" s="69" cm="1">
        <f t="array" ref="H569">INDEX($C$5:$C$1012, F569)</f>
        <v>40.655000000000001</v>
      </c>
      <c r="I569" s="70" cm="1">
        <f t="array" ref="I569">INDEX($D$5:$D$1012, F569)</f>
        <v>34884740</v>
      </c>
    </row>
    <row r="570" spans="2:9" x14ac:dyDescent="0.2">
      <c r="B570" s="62">
        <v>41915</v>
      </c>
      <c r="C570" s="72">
        <v>46.09</v>
      </c>
      <c r="D570" s="71">
        <v>32351720</v>
      </c>
      <c r="E570" s="66" t="s">
        <v>81</v>
      </c>
      <c r="F570" s="16">
        <f t="shared" si="14"/>
        <v>443</v>
      </c>
      <c r="G570" s="67" cm="1">
        <f t="array" ref="G570">INDEX($B$5:$B$1012, F570)</f>
        <v>42095</v>
      </c>
      <c r="H570" s="69" cm="1">
        <f t="array" ref="H570">INDEX($C$5:$C$1012, F570)</f>
        <v>40.72</v>
      </c>
      <c r="I570" s="70" cm="1">
        <f t="array" ref="I570">INDEX($D$5:$D$1012, F570)</f>
        <v>36841010</v>
      </c>
    </row>
    <row r="571" spans="2:9" x14ac:dyDescent="0.2">
      <c r="B571" s="62">
        <v>41914</v>
      </c>
      <c r="C571" s="72">
        <v>45.76</v>
      </c>
      <c r="D571" s="71">
        <v>25297400</v>
      </c>
      <c r="E571" s="66" t="s">
        <v>81</v>
      </c>
      <c r="F571" s="16">
        <f t="shared" si="14"/>
        <v>442</v>
      </c>
      <c r="G571" s="67" cm="1">
        <f t="array" ref="G571">INDEX($B$5:$B$1012, F571)</f>
        <v>42096</v>
      </c>
      <c r="H571" s="69" cm="1">
        <f t="array" ref="H571">INDEX($C$5:$C$1012, F571)</f>
        <v>40.29</v>
      </c>
      <c r="I571" s="70" cm="1">
        <f t="array" ref="I571">INDEX($D$5:$D$1012, F571)</f>
        <v>37483000</v>
      </c>
    </row>
    <row r="572" spans="2:9" x14ac:dyDescent="0.2">
      <c r="B572" s="62">
        <v>41913</v>
      </c>
      <c r="C572" s="72">
        <v>45.9</v>
      </c>
      <c r="D572" s="71">
        <v>38050210</v>
      </c>
      <c r="E572" s="66" t="s">
        <v>81</v>
      </c>
      <c r="F572" s="16">
        <f t="shared" si="14"/>
        <v>441</v>
      </c>
      <c r="G572" s="67" cm="1">
        <f t="array" ref="G572">INDEX($B$5:$B$1012, F572)</f>
        <v>42100</v>
      </c>
      <c r="H572" s="69" cm="1">
        <f t="array" ref="H572">INDEX($C$5:$C$1012, F572)</f>
        <v>41.545000000000002</v>
      </c>
      <c r="I572" s="70" cm="1">
        <f t="array" ref="I572">INDEX($D$5:$D$1012, F572)</f>
        <v>39161760</v>
      </c>
    </row>
    <row r="573" spans="2:9" x14ac:dyDescent="0.2">
      <c r="B573" s="62">
        <v>41912</v>
      </c>
      <c r="C573" s="72">
        <v>46.36</v>
      </c>
      <c r="D573" s="71">
        <v>32996820</v>
      </c>
      <c r="E573" s="66" t="s">
        <v>81</v>
      </c>
      <c r="F573" s="16">
        <f t="shared" si="14"/>
        <v>440</v>
      </c>
      <c r="G573" s="67" cm="1">
        <f t="array" ref="G573">INDEX($B$5:$B$1012, F573)</f>
        <v>42101</v>
      </c>
      <c r="H573" s="69" cm="1">
        <f t="array" ref="H573">INDEX($C$5:$C$1012, F573)</f>
        <v>41.53</v>
      </c>
      <c r="I573" s="70" cm="1">
        <f t="array" ref="I573">INDEX($D$5:$D$1012, F573)</f>
        <v>28808840</v>
      </c>
    </row>
    <row r="574" spans="2:9" x14ac:dyDescent="0.2">
      <c r="B574" s="62">
        <v>41911</v>
      </c>
      <c r="C574" s="72">
        <v>46.44</v>
      </c>
      <c r="D574" s="71">
        <v>26057810</v>
      </c>
      <c r="E574" s="66" t="s">
        <v>81</v>
      </c>
      <c r="F574" s="16">
        <f t="shared" si="14"/>
        <v>439</v>
      </c>
      <c r="G574" s="67" cm="1">
        <f t="array" ref="G574">INDEX($B$5:$B$1012, F574)</f>
        <v>42102</v>
      </c>
      <c r="H574" s="69" cm="1">
        <f t="array" ref="H574">INDEX($C$5:$C$1012, F574)</f>
        <v>41.42</v>
      </c>
      <c r="I574" s="70" cm="1">
        <f t="array" ref="I574">INDEX($D$5:$D$1012, F574)</f>
        <v>24699710</v>
      </c>
    </row>
    <row r="575" spans="2:9" x14ac:dyDescent="0.2">
      <c r="B575" s="62">
        <v>41908</v>
      </c>
      <c r="C575" s="72">
        <v>46.41</v>
      </c>
      <c r="D575" s="71">
        <v>27051350</v>
      </c>
      <c r="E575" s="66" t="s">
        <v>81</v>
      </c>
      <c r="F575" s="16">
        <f t="shared" si="14"/>
        <v>438</v>
      </c>
      <c r="G575" s="67" cm="1">
        <f t="array" ref="G575">INDEX($B$5:$B$1012, F575)</f>
        <v>42103</v>
      </c>
      <c r="H575" s="69" cm="1">
        <f t="array" ref="H575">INDEX($C$5:$C$1012, F575)</f>
        <v>41.48</v>
      </c>
      <c r="I575" s="70" cm="1">
        <f t="array" ref="I575">INDEX($D$5:$D$1012, F575)</f>
        <v>25722630</v>
      </c>
    </row>
    <row r="576" spans="2:9" x14ac:dyDescent="0.2">
      <c r="B576" s="62">
        <v>41907</v>
      </c>
      <c r="C576" s="72">
        <v>46.04</v>
      </c>
      <c r="D576" s="71">
        <v>32927320</v>
      </c>
      <c r="E576" s="66" t="s">
        <v>81</v>
      </c>
      <c r="F576" s="16">
        <f t="shared" si="14"/>
        <v>437</v>
      </c>
      <c r="G576" s="67" cm="1">
        <f t="array" ref="G576">INDEX($B$5:$B$1012, F576)</f>
        <v>42104</v>
      </c>
      <c r="H576" s="69" cm="1">
        <f t="array" ref="H576">INDEX($C$5:$C$1012, F576)</f>
        <v>41.72</v>
      </c>
      <c r="I576" s="70" cm="1">
        <f t="array" ref="I576">INDEX($D$5:$D$1012, F576)</f>
        <v>27856770</v>
      </c>
    </row>
    <row r="577" spans="2:9" x14ac:dyDescent="0.2">
      <c r="B577" s="62">
        <v>41906</v>
      </c>
      <c r="C577" s="72">
        <v>47.08</v>
      </c>
      <c r="D577" s="71">
        <v>26533890</v>
      </c>
      <c r="E577" s="66" t="s">
        <v>81</v>
      </c>
      <c r="F577" s="16">
        <f t="shared" si="14"/>
        <v>436</v>
      </c>
      <c r="G577" s="67" cm="1">
        <f t="array" ref="G577">INDEX($B$5:$B$1012, F577)</f>
        <v>42107</v>
      </c>
      <c r="H577" s="69" cm="1">
        <f t="array" ref="H577">INDEX($C$5:$C$1012, F577)</f>
        <v>41.76</v>
      </c>
      <c r="I577" s="70" cm="1">
        <f t="array" ref="I577">INDEX($D$5:$D$1012, F577)</f>
        <v>30270750</v>
      </c>
    </row>
    <row r="578" spans="2:9" x14ac:dyDescent="0.2">
      <c r="B578" s="62">
        <v>41905</v>
      </c>
      <c r="C578" s="72">
        <v>46.56</v>
      </c>
      <c r="D578" s="71">
        <v>33386790</v>
      </c>
      <c r="E578" s="66" t="s">
        <v>81</v>
      </c>
      <c r="F578" s="16">
        <f t="shared" si="14"/>
        <v>435</v>
      </c>
      <c r="G578" s="67" cm="1">
        <f t="array" ref="G578">INDEX($B$5:$B$1012, F578)</f>
        <v>42108</v>
      </c>
      <c r="H578" s="69" cm="1">
        <f t="array" ref="H578">INDEX($C$5:$C$1012, F578)</f>
        <v>41.65</v>
      </c>
      <c r="I578" s="70" cm="1">
        <f t="array" ref="I578">INDEX($D$5:$D$1012, F578)</f>
        <v>24238760</v>
      </c>
    </row>
    <row r="579" spans="2:9" x14ac:dyDescent="0.2">
      <c r="B579" s="62">
        <v>41904</v>
      </c>
      <c r="C579" s="72">
        <v>47.06</v>
      </c>
      <c r="D579" s="71">
        <v>38655550</v>
      </c>
      <c r="E579" s="66" t="s">
        <v>81</v>
      </c>
      <c r="F579" s="16">
        <f t="shared" si="14"/>
        <v>434</v>
      </c>
      <c r="G579" s="67" cm="1">
        <f t="array" ref="G579">INDEX($B$5:$B$1012, F579)</f>
        <v>42109</v>
      </c>
      <c r="H579" s="69" cm="1">
        <f t="array" ref="H579">INDEX($C$5:$C$1012, F579)</f>
        <v>42.255000000000003</v>
      </c>
      <c r="I579" s="70" cm="1">
        <f t="array" ref="I579">INDEX($D$5:$D$1012, F579)</f>
        <v>27307270</v>
      </c>
    </row>
    <row r="580" spans="2:9" x14ac:dyDescent="0.2">
      <c r="B580" s="62">
        <v>41901</v>
      </c>
      <c r="C580" s="72">
        <v>47.52</v>
      </c>
      <c r="D580" s="71">
        <v>202514100</v>
      </c>
      <c r="E580" s="66" t="s">
        <v>81</v>
      </c>
      <c r="F580" s="16">
        <f t="shared" si="14"/>
        <v>433</v>
      </c>
      <c r="G580" s="67" cm="1">
        <f t="array" ref="G580">INDEX($B$5:$B$1012, F580)</f>
        <v>42110</v>
      </c>
      <c r="H580" s="69" cm="1">
        <f t="array" ref="H580">INDEX($C$5:$C$1012, F580)</f>
        <v>42.16</v>
      </c>
      <c r="I580" s="70" cm="1">
        <f t="array" ref="I580">INDEX($D$5:$D$1012, F580)</f>
        <v>22425300</v>
      </c>
    </row>
    <row r="581" spans="2:9" x14ac:dyDescent="0.2">
      <c r="B581" s="62">
        <v>41900</v>
      </c>
      <c r="C581" s="72">
        <v>46.68</v>
      </c>
      <c r="D581" s="71">
        <v>35493560</v>
      </c>
      <c r="E581" s="66" t="s">
        <v>81</v>
      </c>
      <c r="F581" s="16">
        <f t="shared" si="14"/>
        <v>432</v>
      </c>
      <c r="G581" s="67" cm="1">
        <f t="array" ref="G581">INDEX($B$5:$B$1012, F581)</f>
        <v>42111</v>
      </c>
      <c r="H581" s="69" cm="1">
        <f t="array" ref="H581">INDEX($C$5:$C$1012, F581)</f>
        <v>41.615000000000002</v>
      </c>
      <c r="I581" s="70" cm="1">
        <f t="array" ref="I581">INDEX($D$5:$D$1012, F581)</f>
        <v>41912450</v>
      </c>
    </row>
    <row r="582" spans="2:9" x14ac:dyDescent="0.2">
      <c r="B582" s="62">
        <v>41899</v>
      </c>
      <c r="C582" s="72">
        <v>46.52</v>
      </c>
      <c r="D582" s="71">
        <v>38247550</v>
      </c>
      <c r="E582" s="66" t="s">
        <v>81</v>
      </c>
      <c r="F582" s="16">
        <f t="shared" ref="F582:F645" si="15">COUNT(B582:B1589)</f>
        <v>431</v>
      </c>
      <c r="G582" s="67" cm="1">
        <f t="array" ref="G582">INDEX($B$5:$B$1012, F582)</f>
        <v>42114</v>
      </c>
      <c r="H582" s="69" cm="1">
        <f t="array" ref="H582">INDEX($C$5:$C$1012, F582)</f>
        <v>42.905000000000001</v>
      </c>
      <c r="I582" s="70" cm="1">
        <f t="array" ref="I582">INDEX($D$5:$D$1012, F582)</f>
        <v>46051240</v>
      </c>
    </row>
    <row r="583" spans="2:9" x14ac:dyDescent="0.2">
      <c r="B583" s="62">
        <v>41898</v>
      </c>
      <c r="C583" s="72">
        <v>46.76</v>
      </c>
      <c r="D583" s="71">
        <v>27865200</v>
      </c>
      <c r="E583" s="66" t="s">
        <v>81</v>
      </c>
      <c r="F583" s="16">
        <f t="shared" si="15"/>
        <v>430</v>
      </c>
      <c r="G583" s="67" cm="1">
        <f t="array" ref="G583">INDEX($B$5:$B$1012, F583)</f>
        <v>42115</v>
      </c>
      <c r="H583" s="69" cm="1">
        <f t="array" ref="H583">INDEX($C$5:$C$1012, F583)</f>
        <v>42.634999999999998</v>
      </c>
      <c r="I583" s="70" cm="1">
        <f t="array" ref="I583">INDEX($D$5:$D$1012, F583)</f>
        <v>26004920</v>
      </c>
    </row>
    <row r="584" spans="2:9" x14ac:dyDescent="0.2">
      <c r="B584" s="62">
        <v>41897</v>
      </c>
      <c r="C584" s="72">
        <v>46.24</v>
      </c>
      <c r="D584" s="71">
        <v>37630230</v>
      </c>
      <c r="E584" s="66" t="s">
        <v>81</v>
      </c>
      <c r="F584" s="16">
        <f t="shared" si="15"/>
        <v>429</v>
      </c>
      <c r="G584" s="67" cm="1">
        <f t="array" ref="G584">INDEX($B$5:$B$1012, F584)</f>
        <v>42116</v>
      </c>
      <c r="H584" s="69" cm="1">
        <f t="array" ref="H584">INDEX($C$5:$C$1012, F584)</f>
        <v>42.984999999999999</v>
      </c>
      <c r="I584" s="70" cm="1">
        <f t="array" ref="I584">INDEX($D$5:$D$1012, F584)</f>
        <v>25032050</v>
      </c>
    </row>
    <row r="585" spans="2:9" x14ac:dyDescent="0.2">
      <c r="B585" s="62">
        <v>41894</v>
      </c>
      <c r="C585" s="72">
        <v>46.695</v>
      </c>
      <c r="D585" s="71">
        <v>38224850</v>
      </c>
      <c r="E585" s="66" t="s">
        <v>81</v>
      </c>
      <c r="F585" s="16">
        <f t="shared" si="15"/>
        <v>428</v>
      </c>
      <c r="G585" s="67" cm="1">
        <f t="array" ref="G585">INDEX($B$5:$B$1012, F585)</f>
        <v>42117</v>
      </c>
      <c r="H585" s="69" cm="1">
        <f t="array" ref="H585">INDEX($C$5:$C$1012, F585)</f>
        <v>43.34</v>
      </c>
      <c r="I585" s="70" cm="1">
        <f t="array" ref="I585">INDEX($D$5:$D$1012, F585)</f>
        <v>45445510</v>
      </c>
    </row>
    <row r="586" spans="2:9" x14ac:dyDescent="0.2">
      <c r="B586" s="62">
        <v>41893</v>
      </c>
      <c r="C586" s="72">
        <v>47</v>
      </c>
      <c r="D586" s="71">
        <v>29201070</v>
      </c>
      <c r="E586" s="66" t="s">
        <v>81</v>
      </c>
      <c r="F586" s="16">
        <f t="shared" si="15"/>
        <v>427</v>
      </c>
      <c r="G586" s="67" cm="1">
        <f t="array" ref="G586">INDEX($B$5:$B$1012, F586)</f>
        <v>42118</v>
      </c>
      <c r="H586" s="69" cm="1">
        <f t="array" ref="H586">INDEX($C$5:$C$1012, F586)</f>
        <v>47.87</v>
      </c>
      <c r="I586" s="70" cm="1">
        <f t="array" ref="I586">INDEX($D$5:$D$1012, F586)</f>
        <v>130885200</v>
      </c>
    </row>
    <row r="587" spans="2:9" x14ac:dyDescent="0.2">
      <c r="B587" s="62">
        <v>41892</v>
      </c>
      <c r="C587" s="72">
        <v>46.84</v>
      </c>
      <c r="D587" s="71">
        <v>27297820</v>
      </c>
      <c r="E587" s="66" t="s">
        <v>81</v>
      </c>
      <c r="F587" s="16">
        <f t="shared" si="15"/>
        <v>426</v>
      </c>
      <c r="G587" s="67" cm="1">
        <f t="array" ref="G587">INDEX($B$5:$B$1012, F587)</f>
        <v>42121</v>
      </c>
      <c r="H587" s="69" cm="1">
        <f t="array" ref="H587">INDEX($C$5:$C$1012, F587)</f>
        <v>48.03</v>
      </c>
      <c r="I587" s="70" cm="1">
        <f t="array" ref="I587">INDEX($D$5:$D$1012, F587)</f>
        <v>58950840</v>
      </c>
    </row>
    <row r="588" spans="2:9" x14ac:dyDescent="0.2">
      <c r="B588" s="62">
        <v>41891</v>
      </c>
      <c r="C588" s="72">
        <v>46.76</v>
      </c>
      <c r="D588" s="71">
        <v>40248050</v>
      </c>
      <c r="E588" s="66" t="s">
        <v>81</v>
      </c>
      <c r="F588" s="16">
        <f t="shared" si="15"/>
        <v>425</v>
      </c>
      <c r="G588" s="67" cm="1">
        <f t="array" ref="G588">INDEX($B$5:$B$1012, F588)</f>
        <v>42122</v>
      </c>
      <c r="H588" s="69" cm="1">
        <f t="array" ref="H588">INDEX($C$5:$C$1012, F588)</f>
        <v>49.155000000000001</v>
      </c>
      <c r="I588" s="70" cm="1">
        <f t="array" ref="I588">INDEX($D$5:$D$1012, F588)</f>
        <v>59860670</v>
      </c>
    </row>
    <row r="589" spans="2:9" x14ac:dyDescent="0.2">
      <c r="B589" s="62">
        <v>41890</v>
      </c>
      <c r="C589" s="72">
        <v>46.47</v>
      </c>
      <c r="D589" s="71">
        <v>45709750</v>
      </c>
      <c r="E589" s="66" t="s">
        <v>81</v>
      </c>
      <c r="F589" s="16">
        <f t="shared" si="15"/>
        <v>424</v>
      </c>
      <c r="G589" s="67" cm="1">
        <f t="array" ref="G589">INDEX($B$5:$B$1012, F589)</f>
        <v>42123</v>
      </c>
      <c r="H589" s="69" cm="1">
        <f t="array" ref="H589">INDEX($C$5:$C$1012, F589)</f>
        <v>49.06</v>
      </c>
      <c r="I589" s="70" cm="1">
        <f t="array" ref="I589">INDEX($D$5:$D$1012, F589)</f>
        <v>47665440</v>
      </c>
    </row>
    <row r="590" spans="2:9" x14ac:dyDescent="0.2">
      <c r="B590" s="62">
        <v>41887</v>
      </c>
      <c r="C590" s="72">
        <v>45.91</v>
      </c>
      <c r="D590" s="71">
        <v>36687170</v>
      </c>
      <c r="E590" s="66" t="s">
        <v>81</v>
      </c>
      <c r="F590" s="16">
        <f t="shared" si="15"/>
        <v>423</v>
      </c>
      <c r="G590" s="67" cm="1">
        <f t="array" ref="G590">INDEX($B$5:$B$1012, F590)</f>
        <v>42124</v>
      </c>
      <c r="H590" s="69" cm="1">
        <f t="array" ref="H590">INDEX($C$5:$C$1012, F590)</f>
        <v>48.64</v>
      </c>
      <c r="I590" s="70" cm="1">
        <f t="array" ref="I590">INDEX($D$5:$D$1012, F590)</f>
        <v>64127280</v>
      </c>
    </row>
    <row r="591" spans="2:9" x14ac:dyDescent="0.2">
      <c r="B591" s="62">
        <v>41886</v>
      </c>
      <c r="C591" s="72">
        <v>45.26</v>
      </c>
      <c r="D591" s="71">
        <v>26475110</v>
      </c>
      <c r="E591" s="66" t="s">
        <v>81</v>
      </c>
      <c r="F591" s="16">
        <f t="shared" si="15"/>
        <v>422</v>
      </c>
      <c r="G591" s="67" cm="1">
        <f t="array" ref="G591">INDEX($B$5:$B$1012, F591)</f>
        <v>42125</v>
      </c>
      <c r="H591" s="69" cm="1">
        <f t="array" ref="H591">INDEX($C$5:$C$1012, F591)</f>
        <v>48.655000000000001</v>
      </c>
      <c r="I591" s="70" cm="1">
        <f t="array" ref="I591">INDEX($D$5:$D$1012, F591)</f>
        <v>36432670</v>
      </c>
    </row>
    <row r="592" spans="2:9" x14ac:dyDescent="0.2">
      <c r="B592" s="62">
        <v>41885</v>
      </c>
      <c r="C592" s="72">
        <v>44.96</v>
      </c>
      <c r="D592" s="71">
        <v>33662430</v>
      </c>
      <c r="E592" s="66" t="s">
        <v>81</v>
      </c>
      <c r="F592" s="16">
        <f t="shared" si="15"/>
        <v>421</v>
      </c>
      <c r="G592" s="67" cm="1">
        <f t="array" ref="G592">INDEX($B$5:$B$1012, F592)</f>
        <v>42128</v>
      </c>
      <c r="H592" s="69" cm="1">
        <f t="array" ref="H592">INDEX($C$5:$C$1012, F592)</f>
        <v>48.24</v>
      </c>
      <c r="I592" s="70" cm="1">
        <f t="array" ref="I592">INDEX($D$5:$D$1012, F592)</f>
        <v>33986240</v>
      </c>
    </row>
    <row r="593" spans="2:9" x14ac:dyDescent="0.2">
      <c r="B593" s="62">
        <v>41884</v>
      </c>
      <c r="C593" s="72">
        <v>45.09</v>
      </c>
      <c r="D593" s="71">
        <v>22956270</v>
      </c>
      <c r="E593" s="66" t="s">
        <v>81</v>
      </c>
      <c r="F593" s="16">
        <f t="shared" si="15"/>
        <v>420</v>
      </c>
      <c r="G593" s="67" cm="1">
        <f t="array" ref="G593">INDEX($B$5:$B$1012, F593)</f>
        <v>42129</v>
      </c>
      <c r="H593" s="69" cm="1">
        <f t="array" ref="H593">INDEX($C$5:$C$1012, F593)</f>
        <v>47.6</v>
      </c>
      <c r="I593" s="70" cm="1">
        <f t="array" ref="I593">INDEX($D$5:$D$1012, F593)</f>
        <v>50364250</v>
      </c>
    </row>
    <row r="594" spans="2:9" x14ac:dyDescent="0.2">
      <c r="B594" s="62">
        <v>41880</v>
      </c>
      <c r="C594" s="72">
        <v>45.43</v>
      </c>
      <c r="D594" s="71">
        <v>21577940</v>
      </c>
      <c r="E594" s="66" t="s">
        <v>81</v>
      </c>
      <c r="F594" s="16">
        <f t="shared" si="15"/>
        <v>419</v>
      </c>
      <c r="G594" s="67" cm="1">
        <f t="array" ref="G594">INDEX($B$5:$B$1012, F594)</f>
        <v>42130</v>
      </c>
      <c r="H594" s="69" cm="1">
        <f t="array" ref="H594">INDEX($C$5:$C$1012, F594)</f>
        <v>46.28</v>
      </c>
      <c r="I594" s="70" cm="1">
        <f t="array" ref="I594">INDEX($D$5:$D$1012, F594)</f>
        <v>52416760</v>
      </c>
    </row>
    <row r="595" spans="2:9" x14ac:dyDescent="0.2">
      <c r="B595" s="62">
        <v>41879</v>
      </c>
      <c r="C595" s="72">
        <v>44.88</v>
      </c>
      <c r="D595" s="71">
        <v>17656590</v>
      </c>
      <c r="E595" s="66" t="s">
        <v>81</v>
      </c>
      <c r="F595" s="16">
        <f t="shared" si="15"/>
        <v>418</v>
      </c>
      <c r="G595" s="67" cm="1">
        <f t="array" ref="G595">INDEX($B$5:$B$1012, F595)</f>
        <v>42131</v>
      </c>
      <c r="H595" s="69" cm="1">
        <f t="array" ref="H595">INDEX($C$5:$C$1012, F595)</f>
        <v>46.7</v>
      </c>
      <c r="I595" s="70" cm="1">
        <f t="array" ref="I595">INDEX($D$5:$D$1012, F595)</f>
        <v>32940820</v>
      </c>
    </row>
    <row r="596" spans="2:9" x14ac:dyDescent="0.2">
      <c r="B596" s="62">
        <v>41878</v>
      </c>
      <c r="C596" s="72">
        <v>44.87</v>
      </c>
      <c r="D596" s="71">
        <v>20822900</v>
      </c>
      <c r="E596" s="66" t="s">
        <v>81</v>
      </c>
      <c r="F596" s="16">
        <f t="shared" si="15"/>
        <v>417</v>
      </c>
      <c r="G596" s="67" cm="1">
        <f t="array" ref="G596">INDEX($B$5:$B$1012, F596)</f>
        <v>42132</v>
      </c>
      <c r="H596" s="69" cm="1">
        <f t="array" ref="H596">INDEX($C$5:$C$1012, F596)</f>
        <v>47.75</v>
      </c>
      <c r="I596" s="70" cm="1">
        <f t="array" ref="I596">INDEX($D$5:$D$1012, F596)</f>
        <v>35060430</v>
      </c>
    </row>
    <row r="597" spans="2:9" x14ac:dyDescent="0.2">
      <c r="B597" s="62">
        <v>41877</v>
      </c>
      <c r="C597" s="72">
        <v>45.005000000000003</v>
      </c>
      <c r="D597" s="71">
        <v>14850670</v>
      </c>
      <c r="E597" s="66" t="s">
        <v>81</v>
      </c>
      <c r="F597" s="16">
        <f t="shared" si="15"/>
        <v>416</v>
      </c>
      <c r="G597" s="67" cm="1">
        <f t="array" ref="G597">INDEX($B$5:$B$1012, F597)</f>
        <v>42135</v>
      </c>
      <c r="H597" s="69" cm="1">
        <f t="array" ref="H597">INDEX($C$5:$C$1012, F597)</f>
        <v>47.37</v>
      </c>
      <c r="I597" s="70" cm="1">
        <f t="array" ref="I597">INDEX($D$5:$D$1012, F597)</f>
        <v>24608910</v>
      </c>
    </row>
    <row r="598" spans="2:9" x14ac:dyDescent="0.2">
      <c r="B598" s="62">
        <v>41876</v>
      </c>
      <c r="C598" s="72">
        <v>45.17</v>
      </c>
      <c r="D598" s="71">
        <v>16815800</v>
      </c>
      <c r="E598" s="66" t="s">
        <v>81</v>
      </c>
      <c r="F598" s="16">
        <f t="shared" si="15"/>
        <v>415</v>
      </c>
      <c r="G598" s="67" cm="1">
        <f t="array" ref="G598">INDEX($B$5:$B$1012, F598)</f>
        <v>42136</v>
      </c>
      <c r="H598" s="69" cm="1">
        <f t="array" ref="H598">INDEX($C$5:$C$1012, F598)</f>
        <v>47.35</v>
      </c>
      <c r="I598" s="70" cm="1">
        <f t="array" ref="I598">INDEX($D$5:$D$1012, F598)</f>
        <v>29927160</v>
      </c>
    </row>
    <row r="599" spans="2:9" x14ac:dyDescent="0.2">
      <c r="B599" s="62">
        <v>41873</v>
      </c>
      <c r="C599" s="72">
        <v>45.15</v>
      </c>
      <c r="D599" s="71">
        <v>18293690</v>
      </c>
      <c r="E599" s="66" t="s">
        <v>81</v>
      </c>
      <c r="F599" s="16">
        <f t="shared" si="15"/>
        <v>414</v>
      </c>
      <c r="G599" s="67" cm="1">
        <f t="array" ref="G599">INDEX($B$5:$B$1012, F599)</f>
        <v>42137</v>
      </c>
      <c r="H599" s="69" cm="1">
        <f t="array" ref="H599">INDEX($C$5:$C$1012, F599)</f>
        <v>47.625</v>
      </c>
      <c r="I599" s="70" cm="1">
        <f t="array" ref="I599">INDEX($D$5:$D$1012, F599)</f>
        <v>34182750</v>
      </c>
    </row>
    <row r="600" spans="2:9" x14ac:dyDescent="0.2">
      <c r="B600" s="62">
        <v>41872</v>
      </c>
      <c r="C600" s="72">
        <v>45.22</v>
      </c>
      <c r="D600" s="71">
        <v>22272010</v>
      </c>
      <c r="E600" s="66" t="s">
        <v>81</v>
      </c>
      <c r="F600" s="16">
        <f t="shared" si="15"/>
        <v>413</v>
      </c>
      <c r="G600" s="67" cm="1">
        <f t="array" ref="G600">INDEX($B$5:$B$1012, F600)</f>
        <v>42138</v>
      </c>
      <c r="H600" s="69" cm="1">
        <f t="array" ref="H600">INDEX($C$5:$C$1012, F600)</f>
        <v>48.72</v>
      </c>
      <c r="I600" s="70" cm="1">
        <f t="array" ref="I600">INDEX($D$5:$D$1012, F600)</f>
        <v>32956260</v>
      </c>
    </row>
    <row r="601" spans="2:9" x14ac:dyDescent="0.2">
      <c r="B601" s="62">
        <v>41871</v>
      </c>
      <c r="C601" s="72">
        <v>44.95</v>
      </c>
      <c r="D601" s="71">
        <v>24747360</v>
      </c>
      <c r="E601" s="66" t="s">
        <v>81</v>
      </c>
      <c r="F601" s="16">
        <f t="shared" si="15"/>
        <v>412</v>
      </c>
      <c r="G601" s="67" cm="1">
        <f t="array" ref="G601">INDEX($B$5:$B$1012, F601)</f>
        <v>42139</v>
      </c>
      <c r="H601" s="69" cm="1">
        <f t="array" ref="H601">INDEX($C$5:$C$1012, F601)</f>
        <v>48.295000000000002</v>
      </c>
      <c r="I601" s="70" cm="1">
        <f t="array" ref="I601">INDEX($D$5:$D$1012, F601)</f>
        <v>28628370</v>
      </c>
    </row>
    <row r="602" spans="2:9" x14ac:dyDescent="0.2">
      <c r="B602" s="62">
        <v>41870</v>
      </c>
      <c r="C602" s="72">
        <v>45.33</v>
      </c>
      <c r="D602" s="71">
        <v>28087670</v>
      </c>
      <c r="E602" s="66" t="s">
        <v>81</v>
      </c>
      <c r="F602" s="16">
        <f t="shared" si="15"/>
        <v>411</v>
      </c>
      <c r="G602" s="67" cm="1">
        <f t="array" ref="G602">INDEX($B$5:$B$1012, F602)</f>
        <v>42142</v>
      </c>
      <c r="H602" s="69" cm="1">
        <f t="array" ref="H602">INDEX($C$5:$C$1012, F602)</f>
        <v>48.01</v>
      </c>
      <c r="I602" s="70" cm="1">
        <f t="array" ref="I602">INDEX($D$5:$D$1012, F602)</f>
        <v>23918020</v>
      </c>
    </row>
    <row r="603" spans="2:9" x14ac:dyDescent="0.2">
      <c r="B603" s="62">
        <v>41869</v>
      </c>
      <c r="C603" s="72">
        <v>45.11</v>
      </c>
      <c r="D603" s="71">
        <v>26882850</v>
      </c>
      <c r="E603" s="66" t="s">
        <v>81</v>
      </c>
      <c r="F603" s="16">
        <f t="shared" si="15"/>
        <v>410</v>
      </c>
      <c r="G603" s="67" cm="1">
        <f t="array" ref="G603">INDEX($B$5:$B$1012, F603)</f>
        <v>42143</v>
      </c>
      <c r="H603" s="69" cm="1">
        <f t="array" ref="H603">INDEX($C$5:$C$1012, F603)</f>
        <v>47.58</v>
      </c>
      <c r="I603" s="70" cm="1">
        <f t="array" ref="I603">INDEX($D$5:$D$1012, F603)</f>
        <v>28181300</v>
      </c>
    </row>
    <row r="604" spans="2:9" x14ac:dyDescent="0.2">
      <c r="B604" s="62">
        <v>41866</v>
      </c>
      <c r="C604" s="72">
        <v>44.79</v>
      </c>
      <c r="D604" s="71">
        <v>41573360</v>
      </c>
      <c r="E604" s="66" t="s">
        <v>81</v>
      </c>
      <c r="F604" s="16">
        <f t="shared" si="15"/>
        <v>409</v>
      </c>
      <c r="G604" s="67" cm="1">
        <f t="array" ref="G604">INDEX($B$5:$B$1012, F604)</f>
        <v>42144</v>
      </c>
      <c r="H604" s="69" cm="1">
        <f t="array" ref="H604">INDEX($C$5:$C$1012, F604)</f>
        <v>47.58</v>
      </c>
      <c r="I604" s="70" cm="1">
        <f t="array" ref="I604">INDEX($D$5:$D$1012, F604)</f>
        <v>25035330</v>
      </c>
    </row>
    <row r="605" spans="2:9" x14ac:dyDescent="0.2">
      <c r="B605" s="62">
        <v>41865</v>
      </c>
      <c r="C605" s="72">
        <v>44.27</v>
      </c>
      <c r="D605" s="71">
        <v>19304230</v>
      </c>
      <c r="E605" s="66" t="s">
        <v>81</v>
      </c>
      <c r="F605" s="16">
        <f t="shared" si="15"/>
        <v>408</v>
      </c>
      <c r="G605" s="67" cm="1">
        <f t="array" ref="G605">INDEX($B$5:$B$1012, F605)</f>
        <v>42145</v>
      </c>
      <c r="H605" s="69" cm="1">
        <f t="array" ref="H605">INDEX($C$5:$C$1012, F605)</f>
        <v>47.42</v>
      </c>
      <c r="I605" s="70" cm="1">
        <f t="array" ref="I605">INDEX($D$5:$D$1012, F605)</f>
        <v>22399100</v>
      </c>
    </row>
    <row r="606" spans="2:9" x14ac:dyDescent="0.2">
      <c r="B606" s="62">
        <v>41864</v>
      </c>
      <c r="C606" s="72">
        <v>44.08</v>
      </c>
      <c r="D606" s="71">
        <v>22851140</v>
      </c>
      <c r="E606" s="66" t="s">
        <v>81</v>
      </c>
      <c r="F606" s="16">
        <f t="shared" si="15"/>
        <v>407</v>
      </c>
      <c r="G606" s="67" cm="1">
        <f t="array" ref="G606">INDEX($B$5:$B$1012, F606)</f>
        <v>42146</v>
      </c>
      <c r="H606" s="69" cm="1">
        <f t="array" ref="H606">INDEX($C$5:$C$1012, F606)</f>
        <v>46.9</v>
      </c>
      <c r="I606" s="70" cm="1">
        <f t="array" ref="I606">INDEX($D$5:$D$1012, F606)</f>
        <v>25700240</v>
      </c>
    </row>
    <row r="607" spans="2:9" x14ac:dyDescent="0.2">
      <c r="B607" s="62">
        <v>41863</v>
      </c>
      <c r="C607" s="72">
        <v>43.52</v>
      </c>
      <c r="D607" s="71">
        <v>21422980</v>
      </c>
      <c r="E607" s="66" t="s">
        <v>81</v>
      </c>
      <c r="F607" s="16">
        <f t="shared" si="15"/>
        <v>406</v>
      </c>
      <c r="G607" s="67" cm="1">
        <f t="array" ref="G607">INDEX($B$5:$B$1012, F607)</f>
        <v>42150</v>
      </c>
      <c r="H607" s="69" cm="1">
        <f t="array" ref="H607">INDEX($C$5:$C$1012, F607)</f>
        <v>46.59</v>
      </c>
      <c r="I607" s="70" cm="1">
        <f t="array" ref="I607">INDEX($D$5:$D$1012, F607)</f>
        <v>29556430</v>
      </c>
    </row>
    <row r="608" spans="2:9" x14ac:dyDescent="0.2">
      <c r="B608" s="62">
        <v>41862</v>
      </c>
      <c r="C608" s="72">
        <v>43.2</v>
      </c>
      <c r="D608" s="71">
        <v>19829060</v>
      </c>
      <c r="E608" s="66" t="s">
        <v>81</v>
      </c>
      <c r="F608" s="16">
        <f t="shared" si="15"/>
        <v>405</v>
      </c>
      <c r="G608" s="67" cm="1">
        <f t="array" ref="G608">INDEX($B$5:$B$1012, F608)</f>
        <v>42151</v>
      </c>
      <c r="H608" s="69" cm="1">
        <f t="array" ref="H608">INDEX($C$5:$C$1012, F608)</f>
        <v>47.61</v>
      </c>
      <c r="I608" s="70" cm="1">
        <f t="array" ref="I608">INDEX($D$5:$D$1012, F608)</f>
        <v>27333730</v>
      </c>
    </row>
    <row r="609" spans="2:9" x14ac:dyDescent="0.2">
      <c r="B609" s="62">
        <v>41859</v>
      </c>
      <c r="C609" s="72">
        <v>43.2</v>
      </c>
      <c r="D609" s="71">
        <v>28942570</v>
      </c>
      <c r="E609" s="66" t="s">
        <v>81</v>
      </c>
      <c r="F609" s="16">
        <f t="shared" si="15"/>
        <v>404</v>
      </c>
      <c r="G609" s="67" cm="1">
        <f t="array" ref="G609">INDEX($B$5:$B$1012, F609)</f>
        <v>42152</v>
      </c>
      <c r="H609" s="69" cm="1">
        <f t="array" ref="H609">INDEX($C$5:$C$1012, F609)</f>
        <v>47.45</v>
      </c>
      <c r="I609" s="70" cm="1">
        <f t="array" ref="I609">INDEX($D$5:$D$1012, F609)</f>
        <v>19282810</v>
      </c>
    </row>
    <row r="610" spans="2:9" x14ac:dyDescent="0.2">
      <c r="B610" s="62">
        <v>41858</v>
      </c>
      <c r="C610" s="72">
        <v>43.23</v>
      </c>
      <c r="D610" s="71">
        <v>30300560</v>
      </c>
      <c r="E610" s="66" t="s">
        <v>81</v>
      </c>
      <c r="F610" s="16">
        <f t="shared" si="15"/>
        <v>403</v>
      </c>
      <c r="G610" s="67" cm="1">
        <f t="array" ref="G610">INDEX($B$5:$B$1012, F610)</f>
        <v>42153</v>
      </c>
      <c r="H610" s="69" cm="1">
        <f t="array" ref="H610">INDEX($C$5:$C$1012, F610)</f>
        <v>46.86</v>
      </c>
      <c r="I610" s="70" cm="1">
        <f t="array" ref="I610">INDEX($D$5:$D$1012, F610)</f>
        <v>36497290</v>
      </c>
    </row>
    <row r="611" spans="2:9" x14ac:dyDescent="0.2">
      <c r="B611" s="62">
        <v>41857</v>
      </c>
      <c r="C611" s="72">
        <v>42.74</v>
      </c>
      <c r="D611" s="71">
        <v>24625300</v>
      </c>
      <c r="E611" s="66" t="s">
        <v>81</v>
      </c>
      <c r="F611" s="16">
        <f t="shared" si="15"/>
        <v>402</v>
      </c>
      <c r="G611" s="67" cm="1">
        <f t="array" ref="G611">INDEX($B$5:$B$1012, F611)</f>
        <v>42156</v>
      </c>
      <c r="H611" s="69" cm="1">
        <f t="array" ref="H611">INDEX($C$5:$C$1012, F611)</f>
        <v>47.23</v>
      </c>
      <c r="I611" s="70" cm="1">
        <f t="array" ref="I611">INDEX($D$5:$D$1012, F611)</f>
        <v>28610080</v>
      </c>
    </row>
    <row r="612" spans="2:9" x14ac:dyDescent="0.2">
      <c r="B612" s="62">
        <v>41856</v>
      </c>
      <c r="C612" s="72">
        <v>43.08</v>
      </c>
      <c r="D612" s="71">
        <v>26258880</v>
      </c>
      <c r="E612" s="66" t="s">
        <v>81</v>
      </c>
      <c r="F612" s="16">
        <f t="shared" si="15"/>
        <v>401</v>
      </c>
      <c r="G612" s="67" cm="1">
        <f t="array" ref="G612">INDEX($B$5:$B$1012, F612)</f>
        <v>42157</v>
      </c>
      <c r="H612" s="69" cm="1">
        <f t="array" ref="H612">INDEX($C$5:$C$1012, F612)</f>
        <v>46.92</v>
      </c>
      <c r="I612" s="70" cm="1">
        <f t="array" ref="I612">INDEX($D$5:$D$1012, F612)</f>
        <v>21484660</v>
      </c>
    </row>
    <row r="613" spans="2:9" x14ac:dyDescent="0.2">
      <c r="B613" s="62">
        <v>41855</v>
      </c>
      <c r="C613" s="72">
        <v>43.37</v>
      </c>
      <c r="D613" s="71">
        <v>34200470</v>
      </c>
      <c r="E613" s="66" t="s">
        <v>81</v>
      </c>
      <c r="F613" s="16">
        <f t="shared" si="15"/>
        <v>400</v>
      </c>
      <c r="G613" s="67" cm="1">
        <f t="array" ref="G613">INDEX($B$5:$B$1012, F613)</f>
        <v>42158</v>
      </c>
      <c r="H613" s="69" cm="1">
        <f t="array" ref="H613">INDEX($C$5:$C$1012, F613)</f>
        <v>46.85</v>
      </c>
      <c r="I613" s="70" cm="1">
        <f t="array" ref="I613">INDEX($D$5:$D$1012, F613)</f>
        <v>28000370</v>
      </c>
    </row>
    <row r="614" spans="2:9" x14ac:dyDescent="0.2">
      <c r="B614" s="62">
        <v>41852</v>
      </c>
      <c r="C614" s="72">
        <v>42.86</v>
      </c>
      <c r="D614" s="71">
        <v>30926280</v>
      </c>
      <c r="E614" s="66" t="s">
        <v>81</v>
      </c>
      <c r="F614" s="16">
        <f t="shared" si="15"/>
        <v>399</v>
      </c>
      <c r="G614" s="67" cm="1">
        <f t="array" ref="G614">INDEX($B$5:$B$1012, F614)</f>
        <v>42159</v>
      </c>
      <c r="H614" s="69" cm="1">
        <f t="array" ref="H614">INDEX($C$5:$C$1012, F614)</f>
        <v>46.36</v>
      </c>
      <c r="I614" s="70" cm="1">
        <f t="array" ref="I614">INDEX($D$5:$D$1012, F614)</f>
        <v>27474500</v>
      </c>
    </row>
    <row r="615" spans="2:9" x14ac:dyDescent="0.2">
      <c r="B615" s="62">
        <v>41851</v>
      </c>
      <c r="C615" s="72">
        <v>43.16</v>
      </c>
      <c r="D615" s="71">
        <v>31527670</v>
      </c>
      <c r="E615" s="66" t="s">
        <v>81</v>
      </c>
      <c r="F615" s="16">
        <f t="shared" si="15"/>
        <v>398</v>
      </c>
      <c r="G615" s="67" cm="1">
        <f t="array" ref="G615">INDEX($B$5:$B$1012, F615)</f>
        <v>42160</v>
      </c>
      <c r="H615" s="69" cm="1">
        <f t="array" ref="H615">INDEX($C$5:$C$1012, F615)</f>
        <v>46.14</v>
      </c>
      <c r="I615" s="70" cm="1">
        <f t="array" ref="I615">INDEX($D$5:$D$1012, F615)</f>
        <v>25434870</v>
      </c>
    </row>
    <row r="616" spans="2:9" x14ac:dyDescent="0.2">
      <c r="B616" s="62">
        <v>41850</v>
      </c>
      <c r="C616" s="72">
        <v>43.578499999999998</v>
      </c>
      <c r="D616" s="71">
        <v>31918500</v>
      </c>
      <c r="E616" s="66" t="s">
        <v>81</v>
      </c>
      <c r="F616" s="16">
        <f t="shared" si="15"/>
        <v>397</v>
      </c>
      <c r="G616" s="67" cm="1">
        <f t="array" ref="G616">INDEX($B$5:$B$1012, F616)</f>
        <v>42163</v>
      </c>
      <c r="H616" s="69" cm="1">
        <f t="array" ref="H616">INDEX($C$5:$C$1012, F616)</f>
        <v>45.73</v>
      </c>
      <c r="I616" s="70" cm="1">
        <f t="array" ref="I616">INDEX($D$5:$D$1012, F616)</f>
        <v>22108100</v>
      </c>
    </row>
    <row r="617" spans="2:9" x14ac:dyDescent="0.2">
      <c r="B617" s="62">
        <v>41849</v>
      </c>
      <c r="C617" s="72">
        <v>43.884999999999998</v>
      </c>
      <c r="D617" s="71">
        <v>27755840</v>
      </c>
      <c r="E617" s="66" t="s">
        <v>81</v>
      </c>
      <c r="F617" s="16">
        <f t="shared" si="15"/>
        <v>396</v>
      </c>
      <c r="G617" s="67" cm="1">
        <f t="array" ref="G617">INDEX($B$5:$B$1012, F617)</f>
        <v>42164</v>
      </c>
      <c r="H617" s="69" cm="1">
        <f t="array" ref="H617">INDEX($C$5:$C$1012, F617)</f>
        <v>45.65</v>
      </c>
      <c r="I617" s="70" cm="1">
        <f t="array" ref="I617">INDEX($D$5:$D$1012, F617)</f>
        <v>24395800</v>
      </c>
    </row>
    <row r="618" spans="2:9" x14ac:dyDescent="0.2">
      <c r="B618" s="62">
        <v>41848</v>
      </c>
      <c r="C618" s="72">
        <v>43.97</v>
      </c>
      <c r="D618" s="71">
        <v>29650540</v>
      </c>
      <c r="E618" s="66" t="s">
        <v>81</v>
      </c>
      <c r="F618" s="16">
        <f t="shared" si="15"/>
        <v>395</v>
      </c>
      <c r="G618" s="67" cm="1">
        <f t="array" ref="G618">INDEX($B$5:$B$1012, F618)</f>
        <v>42165</v>
      </c>
      <c r="H618" s="69" cm="1">
        <f t="array" ref="H618">INDEX($C$5:$C$1012, F618)</f>
        <v>46.61</v>
      </c>
      <c r="I618" s="70" cm="1">
        <f t="array" ref="I618">INDEX($D$5:$D$1012, F618)</f>
        <v>28416030</v>
      </c>
    </row>
    <row r="619" spans="2:9" x14ac:dyDescent="0.2">
      <c r="B619" s="62">
        <v>41845</v>
      </c>
      <c r="C619" s="72">
        <v>44.5</v>
      </c>
      <c r="D619" s="71">
        <v>26700810</v>
      </c>
      <c r="E619" s="66" t="s">
        <v>81</v>
      </c>
      <c r="F619" s="16">
        <f t="shared" si="15"/>
        <v>394</v>
      </c>
      <c r="G619" s="67" cm="1">
        <f t="array" ref="G619">INDEX($B$5:$B$1012, F619)</f>
        <v>42166</v>
      </c>
      <c r="H619" s="69" cm="1">
        <f t="array" ref="H619">INDEX($C$5:$C$1012, F619)</f>
        <v>46.44</v>
      </c>
      <c r="I619" s="70" cm="1">
        <f t="array" ref="I619">INDEX($D$5:$D$1012, F619)</f>
        <v>27290100</v>
      </c>
    </row>
    <row r="620" spans="2:9" x14ac:dyDescent="0.2">
      <c r="B620" s="62">
        <v>41844</v>
      </c>
      <c r="C620" s="72">
        <v>44.4</v>
      </c>
      <c r="D620" s="71">
        <v>30692230</v>
      </c>
      <c r="E620" s="66" t="s">
        <v>81</v>
      </c>
      <c r="F620" s="16">
        <f t="shared" si="15"/>
        <v>393</v>
      </c>
      <c r="G620" s="67" cm="1">
        <f t="array" ref="G620">INDEX($B$5:$B$1012, F620)</f>
        <v>42167</v>
      </c>
      <c r="H620" s="69" cm="1">
        <f t="array" ref="H620">INDEX($C$5:$C$1012, F620)</f>
        <v>45.97</v>
      </c>
      <c r="I620" s="70" cm="1">
        <f t="array" ref="I620">INDEX($D$5:$D$1012, F620)</f>
        <v>23916080</v>
      </c>
    </row>
    <row r="621" spans="2:9" x14ac:dyDescent="0.2">
      <c r="B621" s="62">
        <v>41843</v>
      </c>
      <c r="C621" s="72">
        <v>44.87</v>
      </c>
      <c r="D621" s="71">
        <v>52352270</v>
      </c>
      <c r="E621" s="66" t="s">
        <v>81</v>
      </c>
      <c r="F621" s="16">
        <f t="shared" si="15"/>
        <v>392</v>
      </c>
      <c r="G621" s="67" cm="1">
        <f t="array" ref="G621">INDEX($B$5:$B$1012, F621)</f>
        <v>42170</v>
      </c>
      <c r="H621" s="69" cm="1">
        <f t="array" ref="H621">INDEX($C$5:$C$1012, F621)</f>
        <v>45.475000000000001</v>
      </c>
      <c r="I621" s="70" cm="1">
        <f t="array" ref="I621">INDEX($D$5:$D$1012, F621)</f>
        <v>33227000</v>
      </c>
    </row>
    <row r="622" spans="2:9" x14ac:dyDescent="0.2">
      <c r="B622" s="62">
        <v>41842</v>
      </c>
      <c r="C622" s="72">
        <v>44.83</v>
      </c>
      <c r="D622" s="71">
        <v>42589920</v>
      </c>
      <c r="E622" s="66" t="s">
        <v>81</v>
      </c>
      <c r="F622" s="16">
        <f t="shared" si="15"/>
        <v>391</v>
      </c>
      <c r="G622" s="67" cm="1">
        <f t="array" ref="G622">INDEX($B$5:$B$1012, F622)</f>
        <v>42171</v>
      </c>
      <c r="H622" s="69" cm="1">
        <f t="array" ref="H622">INDEX($C$5:$C$1012, F622)</f>
        <v>45.83</v>
      </c>
      <c r="I622" s="70" cm="1">
        <f t="array" ref="I622">INDEX($D$5:$D$1012, F622)</f>
        <v>26895950</v>
      </c>
    </row>
    <row r="623" spans="2:9" x14ac:dyDescent="0.2">
      <c r="B623" s="62">
        <v>41841</v>
      </c>
      <c r="C623" s="72">
        <v>44.835000000000001</v>
      </c>
      <c r="D623" s="71">
        <v>37569630</v>
      </c>
      <c r="E623" s="66" t="s">
        <v>81</v>
      </c>
      <c r="F623" s="16">
        <f t="shared" si="15"/>
        <v>390</v>
      </c>
      <c r="G623" s="67" cm="1">
        <f t="array" ref="G623">INDEX($B$5:$B$1012, F623)</f>
        <v>42172</v>
      </c>
      <c r="H623" s="69" cm="1">
        <f t="array" ref="H623">INDEX($C$5:$C$1012, F623)</f>
        <v>45.97</v>
      </c>
      <c r="I623" s="70" cm="1">
        <f t="array" ref="I623">INDEX($D$5:$D$1012, F623)</f>
        <v>28683290</v>
      </c>
    </row>
    <row r="624" spans="2:9" x14ac:dyDescent="0.2">
      <c r="B624" s="62">
        <v>41838</v>
      </c>
      <c r="C624" s="72">
        <v>44.69</v>
      </c>
      <c r="D624" s="71">
        <v>43396060</v>
      </c>
      <c r="E624" s="66" t="s">
        <v>81</v>
      </c>
      <c r="F624" s="16">
        <f t="shared" si="15"/>
        <v>389</v>
      </c>
      <c r="G624" s="67" cm="1">
        <f t="array" ref="G624">INDEX($B$5:$B$1012, F624)</f>
        <v>42173</v>
      </c>
      <c r="H624" s="69" cm="1">
        <f t="array" ref="H624">INDEX($C$5:$C$1012, F624)</f>
        <v>46.72</v>
      </c>
      <c r="I624" s="70" cm="1">
        <f t="array" ref="I624">INDEX($D$5:$D$1012, F624)</f>
        <v>32586480</v>
      </c>
    </row>
    <row r="625" spans="2:9" x14ac:dyDescent="0.2">
      <c r="B625" s="62">
        <v>41837</v>
      </c>
      <c r="C625" s="72">
        <v>44.53</v>
      </c>
      <c r="D625" s="71">
        <v>82146080</v>
      </c>
      <c r="E625" s="66" t="s">
        <v>81</v>
      </c>
      <c r="F625" s="16">
        <f t="shared" si="15"/>
        <v>388</v>
      </c>
      <c r="G625" s="67" cm="1">
        <f t="array" ref="G625">INDEX($B$5:$B$1012, F625)</f>
        <v>42174</v>
      </c>
      <c r="H625" s="69" cm="1">
        <f t="array" ref="H625">INDEX($C$5:$C$1012, F625)</f>
        <v>46.1</v>
      </c>
      <c r="I625" s="70" cm="1">
        <f t="array" ref="I625">INDEX($D$5:$D$1012, F625)</f>
        <v>63733110</v>
      </c>
    </row>
    <row r="626" spans="2:9" x14ac:dyDescent="0.2">
      <c r="B626" s="62">
        <v>41836</v>
      </c>
      <c r="C626" s="72">
        <v>44.08</v>
      </c>
      <c r="D626" s="71">
        <v>63304860</v>
      </c>
      <c r="E626" s="66" t="s">
        <v>81</v>
      </c>
      <c r="F626" s="16">
        <f t="shared" si="15"/>
        <v>387</v>
      </c>
      <c r="G626" s="67" cm="1">
        <f t="array" ref="G626">INDEX($B$5:$B$1012, F626)</f>
        <v>42177</v>
      </c>
      <c r="H626" s="69" cm="1">
        <f t="array" ref="H626">INDEX($C$5:$C$1012, F626)</f>
        <v>46.23</v>
      </c>
      <c r="I626" s="70" cm="1">
        <f t="array" ref="I626">INDEX($D$5:$D$1012, F626)</f>
        <v>20300480</v>
      </c>
    </row>
    <row r="627" spans="2:9" x14ac:dyDescent="0.2">
      <c r="B627" s="62">
        <v>41835</v>
      </c>
      <c r="C627" s="72">
        <v>42.45</v>
      </c>
      <c r="D627" s="71">
        <v>28743300</v>
      </c>
      <c r="E627" s="66" t="s">
        <v>81</v>
      </c>
      <c r="F627" s="16">
        <f t="shared" si="15"/>
        <v>386</v>
      </c>
      <c r="G627" s="67" cm="1">
        <f t="array" ref="G627">INDEX($B$5:$B$1012, F627)</f>
        <v>42178</v>
      </c>
      <c r="H627" s="69" cm="1">
        <f t="array" ref="H627">INDEX($C$5:$C$1012, F627)</f>
        <v>45.91</v>
      </c>
      <c r="I627" s="70" cm="1">
        <f t="array" ref="I627">INDEX($D$5:$D$1012, F627)</f>
        <v>25881850</v>
      </c>
    </row>
    <row r="628" spans="2:9" x14ac:dyDescent="0.2">
      <c r="B628" s="62">
        <v>41834</v>
      </c>
      <c r="C628" s="72">
        <v>42.14</v>
      </c>
      <c r="D628" s="71">
        <v>21878810</v>
      </c>
      <c r="E628" s="66" t="s">
        <v>81</v>
      </c>
      <c r="F628" s="16">
        <f t="shared" si="15"/>
        <v>385</v>
      </c>
      <c r="G628" s="67" cm="1">
        <f t="array" ref="G628">INDEX($B$5:$B$1012, F628)</f>
        <v>42179</v>
      </c>
      <c r="H628" s="69" cm="1">
        <f t="array" ref="H628">INDEX($C$5:$C$1012, F628)</f>
        <v>45.634999999999998</v>
      </c>
      <c r="I628" s="70" cm="1">
        <f t="array" ref="I628">INDEX($D$5:$D$1012, F628)</f>
        <v>34849400</v>
      </c>
    </row>
    <row r="629" spans="2:9" x14ac:dyDescent="0.2">
      <c r="B629" s="62">
        <v>41831</v>
      </c>
      <c r="C629" s="72">
        <v>42.09</v>
      </c>
      <c r="D629" s="71">
        <v>24082750</v>
      </c>
      <c r="E629" s="66" t="s">
        <v>81</v>
      </c>
      <c r="F629" s="16">
        <f t="shared" si="15"/>
        <v>384</v>
      </c>
      <c r="G629" s="67" cm="1">
        <f t="array" ref="G629">INDEX($B$5:$B$1012, F629)</f>
        <v>42180</v>
      </c>
      <c r="H629" s="69" cm="1">
        <f t="array" ref="H629">INDEX($C$5:$C$1012, F629)</f>
        <v>45.65</v>
      </c>
      <c r="I629" s="70" cm="1">
        <f t="array" ref="I629">INDEX($D$5:$D$1012, F629)</f>
        <v>20599990</v>
      </c>
    </row>
    <row r="630" spans="2:9" x14ac:dyDescent="0.2">
      <c r="B630" s="62">
        <v>41830</v>
      </c>
      <c r="C630" s="72">
        <v>41.685000000000002</v>
      </c>
      <c r="D630" s="71">
        <v>21854010</v>
      </c>
      <c r="E630" s="66" t="s">
        <v>81</v>
      </c>
      <c r="F630" s="16">
        <f t="shared" si="15"/>
        <v>383</v>
      </c>
      <c r="G630" s="67" cm="1">
        <f t="array" ref="G630">INDEX($B$5:$B$1012, F630)</f>
        <v>42181</v>
      </c>
      <c r="H630" s="69" cm="1">
        <f t="array" ref="H630">INDEX($C$5:$C$1012, F630)</f>
        <v>45.26</v>
      </c>
      <c r="I630" s="70" cm="1">
        <f t="array" ref="I630">INDEX($D$5:$D$1012, F630)</f>
        <v>49757070</v>
      </c>
    </row>
    <row r="631" spans="2:9" x14ac:dyDescent="0.2">
      <c r="B631" s="62">
        <v>41829</v>
      </c>
      <c r="C631" s="72">
        <v>41.67</v>
      </c>
      <c r="D631" s="71">
        <v>18374910</v>
      </c>
      <c r="E631" s="66" t="s">
        <v>81</v>
      </c>
      <c r="F631" s="16">
        <f t="shared" si="15"/>
        <v>382</v>
      </c>
      <c r="G631" s="67" cm="1">
        <f t="array" ref="G631">INDEX($B$5:$B$1012, F631)</f>
        <v>42184</v>
      </c>
      <c r="H631" s="69" cm="1">
        <f t="array" ref="H631">INDEX($C$5:$C$1012, F631)</f>
        <v>44.37</v>
      </c>
      <c r="I631" s="70" cm="1">
        <f t="array" ref="I631">INDEX($D$5:$D$1012, F631)</f>
        <v>34004400</v>
      </c>
    </row>
    <row r="632" spans="2:9" x14ac:dyDescent="0.2">
      <c r="B632" s="62">
        <v>41828</v>
      </c>
      <c r="C632" s="72">
        <v>41.78</v>
      </c>
      <c r="D632" s="71">
        <v>31218210</v>
      </c>
      <c r="E632" s="66" t="s">
        <v>81</v>
      </c>
      <c r="F632" s="16">
        <f t="shared" si="15"/>
        <v>381</v>
      </c>
      <c r="G632" s="67" cm="1">
        <f t="array" ref="G632">INDEX($B$5:$B$1012, F632)</f>
        <v>42185</v>
      </c>
      <c r="H632" s="69" cm="1">
        <f t="array" ref="H632">INDEX($C$5:$C$1012, F632)</f>
        <v>44.15</v>
      </c>
      <c r="I632" s="70" cm="1">
        <f t="array" ref="I632">INDEX($D$5:$D$1012, F632)</f>
        <v>35943040</v>
      </c>
    </row>
    <row r="633" spans="2:9" x14ac:dyDescent="0.2">
      <c r="B633" s="62">
        <v>41827</v>
      </c>
      <c r="C633" s="72">
        <v>41.99</v>
      </c>
      <c r="D633" s="71">
        <v>21896680</v>
      </c>
      <c r="E633" s="66" t="s">
        <v>81</v>
      </c>
      <c r="F633" s="16">
        <f t="shared" si="15"/>
        <v>380</v>
      </c>
      <c r="G633" s="67" cm="1">
        <f t="array" ref="G633">INDEX($B$5:$B$1012, F633)</f>
        <v>42186</v>
      </c>
      <c r="H633" s="69" cm="1">
        <f t="array" ref="H633">INDEX($C$5:$C$1012, F633)</f>
        <v>44.445</v>
      </c>
      <c r="I633" s="70" cm="1">
        <f t="array" ref="I633">INDEX($D$5:$D$1012, F633)</f>
        <v>28339610</v>
      </c>
    </row>
    <row r="634" spans="2:9" x14ac:dyDescent="0.2">
      <c r="B634" s="62">
        <v>41823</v>
      </c>
      <c r="C634" s="72">
        <v>41.8</v>
      </c>
      <c r="D634" s="71">
        <v>15969310</v>
      </c>
      <c r="E634" s="66" t="s">
        <v>81</v>
      </c>
      <c r="F634" s="16">
        <f t="shared" si="15"/>
        <v>379</v>
      </c>
      <c r="G634" s="67" cm="1">
        <f t="array" ref="G634">INDEX($B$5:$B$1012, F634)</f>
        <v>42187</v>
      </c>
      <c r="H634" s="69" cm="1">
        <f t="array" ref="H634">INDEX($C$5:$C$1012, F634)</f>
        <v>44.4</v>
      </c>
      <c r="I634" s="70" cm="1">
        <f t="array" ref="I634">INDEX($D$5:$D$1012, F634)</f>
        <v>21743250</v>
      </c>
    </row>
    <row r="635" spans="2:9" x14ac:dyDescent="0.2">
      <c r="B635" s="62">
        <v>41822</v>
      </c>
      <c r="C635" s="72">
        <v>41.9</v>
      </c>
      <c r="D635" s="71">
        <v>20208090</v>
      </c>
      <c r="E635" s="66" t="s">
        <v>81</v>
      </c>
      <c r="F635" s="16">
        <f t="shared" si="15"/>
        <v>378</v>
      </c>
      <c r="G635" s="67" cm="1">
        <f t="array" ref="G635">INDEX($B$5:$B$1012, F635)</f>
        <v>42191</v>
      </c>
      <c r="H635" s="69" cm="1">
        <f t="array" ref="H635">INDEX($C$5:$C$1012, F635)</f>
        <v>44.39</v>
      </c>
      <c r="I635" s="70" cm="1">
        <f t="array" ref="I635">INDEX($D$5:$D$1012, F635)</f>
        <v>23025750</v>
      </c>
    </row>
    <row r="636" spans="2:9" x14ac:dyDescent="0.2">
      <c r="B636" s="62">
        <v>41821</v>
      </c>
      <c r="C636" s="72">
        <v>41.87</v>
      </c>
      <c r="D636" s="71">
        <v>26916950</v>
      </c>
      <c r="E636" s="66" t="s">
        <v>81</v>
      </c>
      <c r="F636" s="16">
        <f t="shared" si="15"/>
        <v>377</v>
      </c>
      <c r="G636" s="67" cm="1">
        <f t="array" ref="G636">INDEX($B$5:$B$1012, F636)</f>
        <v>42192</v>
      </c>
      <c r="H636" s="69" cm="1">
        <f t="array" ref="H636">INDEX($C$5:$C$1012, F636)</f>
        <v>44.3</v>
      </c>
      <c r="I636" s="70" cm="1">
        <f t="array" ref="I636">INDEX($D$5:$D$1012, F636)</f>
        <v>36420230</v>
      </c>
    </row>
    <row r="637" spans="2:9" x14ac:dyDescent="0.2">
      <c r="B637" s="62">
        <v>41820</v>
      </c>
      <c r="C637" s="72">
        <v>41.7</v>
      </c>
      <c r="D637" s="71">
        <v>30790300</v>
      </c>
      <c r="E637" s="66" t="s">
        <v>81</v>
      </c>
      <c r="F637" s="16">
        <f t="shared" si="15"/>
        <v>376</v>
      </c>
      <c r="G637" s="67" cm="1">
        <f t="array" ref="G637">INDEX($B$5:$B$1012, F637)</f>
        <v>42193</v>
      </c>
      <c r="H637" s="69" cm="1">
        <f t="array" ref="H637">INDEX($C$5:$C$1012, F637)</f>
        <v>44.24</v>
      </c>
      <c r="I637" s="70" cm="1">
        <f t="array" ref="I637">INDEX($D$5:$D$1012, F637)</f>
        <v>39761460</v>
      </c>
    </row>
    <row r="638" spans="2:9" x14ac:dyDescent="0.2">
      <c r="B638" s="62">
        <v>41817</v>
      </c>
      <c r="C638" s="72">
        <v>42.25</v>
      </c>
      <c r="D638" s="71">
        <v>70385440</v>
      </c>
      <c r="E638" s="66" t="s">
        <v>81</v>
      </c>
      <c r="F638" s="16">
        <f t="shared" si="15"/>
        <v>375</v>
      </c>
      <c r="G638" s="67" cm="1">
        <f t="array" ref="G638">INDEX($B$5:$B$1012, F638)</f>
        <v>42194</v>
      </c>
      <c r="H638" s="69" cm="1">
        <f t="array" ref="H638">INDEX($C$5:$C$1012, F638)</f>
        <v>44.52</v>
      </c>
      <c r="I638" s="70" cm="1">
        <f t="array" ref="I638">INDEX($D$5:$D$1012, F638)</f>
        <v>32404100</v>
      </c>
    </row>
    <row r="639" spans="2:9" x14ac:dyDescent="0.2">
      <c r="B639" s="62">
        <v>41816</v>
      </c>
      <c r="C639" s="72">
        <v>41.72</v>
      </c>
      <c r="D639" s="71">
        <v>23604390</v>
      </c>
      <c r="E639" s="66" t="s">
        <v>81</v>
      </c>
      <c r="F639" s="16">
        <f t="shared" si="15"/>
        <v>374</v>
      </c>
      <c r="G639" s="67" cm="1">
        <f t="array" ref="G639">INDEX($B$5:$B$1012, F639)</f>
        <v>42195</v>
      </c>
      <c r="H639" s="69" cm="1">
        <f t="array" ref="H639">INDEX($C$5:$C$1012, F639)</f>
        <v>44.61</v>
      </c>
      <c r="I639" s="70" cm="1">
        <f t="array" ref="I639">INDEX($D$5:$D$1012, F639)</f>
        <v>25365530</v>
      </c>
    </row>
    <row r="640" spans="2:9" x14ac:dyDescent="0.2">
      <c r="B640" s="62">
        <v>41815</v>
      </c>
      <c r="C640" s="72">
        <v>42.03</v>
      </c>
      <c r="D640" s="71">
        <v>20038340</v>
      </c>
      <c r="E640" s="66" t="s">
        <v>81</v>
      </c>
      <c r="F640" s="16">
        <f t="shared" si="15"/>
        <v>373</v>
      </c>
      <c r="G640" s="67" cm="1">
        <f t="array" ref="G640">INDEX($B$5:$B$1012, F640)</f>
        <v>42198</v>
      </c>
      <c r="H640" s="69" cm="1">
        <f t="array" ref="H640">INDEX($C$5:$C$1012, F640)</f>
        <v>45.54</v>
      </c>
      <c r="I640" s="70" cm="1">
        <f t="array" ref="I640">INDEX($D$5:$D$1012, F640)</f>
        <v>27875670</v>
      </c>
    </row>
    <row r="641" spans="2:9" x14ac:dyDescent="0.2">
      <c r="B641" s="62">
        <v>41814</v>
      </c>
      <c r="C641" s="72">
        <v>41.744999999999997</v>
      </c>
      <c r="D641" s="71">
        <v>26499460</v>
      </c>
      <c r="E641" s="66" t="s">
        <v>81</v>
      </c>
      <c r="F641" s="16">
        <f t="shared" si="15"/>
        <v>372</v>
      </c>
      <c r="G641" s="67" cm="1">
        <f t="array" ref="G641">INDEX($B$5:$B$1012, F641)</f>
        <v>42199</v>
      </c>
      <c r="H641" s="69" cm="1">
        <f t="array" ref="H641">INDEX($C$5:$C$1012, F641)</f>
        <v>45.62</v>
      </c>
      <c r="I641" s="70" cm="1">
        <f t="array" ref="I641">INDEX($D$5:$D$1012, F641)</f>
        <v>22865770</v>
      </c>
    </row>
    <row r="642" spans="2:9" x14ac:dyDescent="0.2">
      <c r="B642" s="62">
        <v>41813</v>
      </c>
      <c r="C642" s="72">
        <v>41.99</v>
      </c>
      <c r="D642" s="71">
        <v>18731430</v>
      </c>
      <c r="E642" s="66" t="s">
        <v>81</v>
      </c>
      <c r="F642" s="16">
        <f t="shared" si="15"/>
        <v>371</v>
      </c>
      <c r="G642" s="67" cm="1">
        <f t="array" ref="G642">INDEX($B$5:$B$1012, F642)</f>
        <v>42200</v>
      </c>
      <c r="H642" s="69" cm="1">
        <f t="array" ref="H642">INDEX($C$5:$C$1012, F642)</f>
        <v>45.76</v>
      </c>
      <c r="I642" s="70" cm="1">
        <f t="array" ref="I642">INDEX($D$5:$D$1012, F642)</f>
        <v>26619810</v>
      </c>
    </row>
    <row r="643" spans="2:9" x14ac:dyDescent="0.2">
      <c r="B643" s="62">
        <v>41810</v>
      </c>
      <c r="C643" s="72">
        <v>41.68</v>
      </c>
      <c r="D643" s="71">
        <v>47760950</v>
      </c>
      <c r="E643" s="66" t="s">
        <v>81</v>
      </c>
      <c r="F643" s="16">
        <f t="shared" si="15"/>
        <v>370</v>
      </c>
      <c r="G643" s="67" cm="1">
        <f t="array" ref="G643">INDEX($B$5:$B$1012, F643)</f>
        <v>42201</v>
      </c>
      <c r="H643" s="69" cm="1">
        <f t="array" ref="H643">INDEX($C$5:$C$1012, F643)</f>
        <v>46.66</v>
      </c>
      <c r="I643" s="70" cm="1">
        <f t="array" ref="I643">INDEX($D$5:$D$1012, F643)</f>
        <v>26254220</v>
      </c>
    </row>
    <row r="644" spans="2:9" x14ac:dyDescent="0.2">
      <c r="B644" s="62">
        <v>41809</v>
      </c>
      <c r="C644" s="72">
        <v>41.51</v>
      </c>
      <c r="D644" s="71">
        <v>19828190</v>
      </c>
      <c r="E644" s="66" t="s">
        <v>81</v>
      </c>
      <c r="F644" s="16">
        <f t="shared" si="15"/>
        <v>369</v>
      </c>
      <c r="G644" s="67" cm="1">
        <f t="array" ref="G644">INDEX($B$5:$B$1012, F644)</f>
        <v>42202</v>
      </c>
      <c r="H644" s="69" cm="1">
        <f t="array" ref="H644">INDEX($C$5:$C$1012, F644)</f>
        <v>46.62</v>
      </c>
      <c r="I644" s="70" cm="1">
        <f t="array" ref="I644">INDEX($D$5:$D$1012, F644)</f>
        <v>29454740</v>
      </c>
    </row>
    <row r="645" spans="2:9" x14ac:dyDescent="0.2">
      <c r="B645" s="62">
        <v>41808</v>
      </c>
      <c r="C645" s="72">
        <v>41.65</v>
      </c>
      <c r="D645" s="71">
        <v>27053740</v>
      </c>
      <c r="E645" s="66" t="s">
        <v>81</v>
      </c>
      <c r="F645" s="16">
        <f t="shared" si="15"/>
        <v>368</v>
      </c>
      <c r="G645" s="67" cm="1">
        <f t="array" ref="G645">INDEX($B$5:$B$1012, F645)</f>
        <v>42205</v>
      </c>
      <c r="H645" s="69" cm="1">
        <f t="array" ref="H645">INDEX($C$5:$C$1012, F645)</f>
        <v>46.92</v>
      </c>
      <c r="I645" s="70" cm="1">
        <f t="array" ref="I645">INDEX($D$5:$D$1012, F645)</f>
        <v>30607770</v>
      </c>
    </row>
    <row r="646" spans="2:9" x14ac:dyDescent="0.2">
      <c r="B646" s="62">
        <v>41807</v>
      </c>
      <c r="C646" s="72">
        <v>41.68</v>
      </c>
      <c r="D646" s="71">
        <v>22473060</v>
      </c>
      <c r="E646" s="66" t="s">
        <v>81</v>
      </c>
      <c r="F646" s="16">
        <f t="shared" ref="F646:F709" si="16">COUNT(B646:B1653)</f>
        <v>367</v>
      </c>
      <c r="G646" s="67" cm="1">
        <f t="array" ref="G646">INDEX($B$5:$B$1012, F646)</f>
        <v>42206</v>
      </c>
      <c r="H646" s="69" cm="1">
        <f t="array" ref="H646">INDEX($C$5:$C$1012, F646)</f>
        <v>47.28</v>
      </c>
      <c r="I646" s="70" cm="1">
        <f t="array" ref="I646">INDEX($D$5:$D$1012, F646)</f>
        <v>42211210</v>
      </c>
    </row>
    <row r="647" spans="2:9" x14ac:dyDescent="0.2">
      <c r="B647" s="62">
        <v>41806</v>
      </c>
      <c r="C647" s="72">
        <v>41.5</v>
      </c>
      <c r="D647" s="71">
        <v>24127410</v>
      </c>
      <c r="E647" s="66" t="s">
        <v>81</v>
      </c>
      <c r="F647" s="16">
        <f t="shared" si="16"/>
        <v>366</v>
      </c>
      <c r="G647" s="67" cm="1">
        <f t="array" ref="G647">INDEX($B$5:$B$1012, F647)</f>
        <v>42207</v>
      </c>
      <c r="H647" s="69" cm="1">
        <f t="array" ref="H647">INDEX($C$5:$C$1012, F647)</f>
        <v>45.54</v>
      </c>
      <c r="I647" s="70" cm="1">
        <f t="array" ref="I647">INDEX($D$5:$D$1012, F647)</f>
        <v>59039160</v>
      </c>
    </row>
    <row r="648" spans="2:9" x14ac:dyDescent="0.2">
      <c r="B648" s="62">
        <v>41803</v>
      </c>
      <c r="C648" s="72">
        <v>41.23</v>
      </c>
      <c r="D648" s="71">
        <v>26305900</v>
      </c>
      <c r="E648" s="66" t="s">
        <v>81</v>
      </c>
      <c r="F648" s="16">
        <f t="shared" si="16"/>
        <v>365</v>
      </c>
      <c r="G648" s="67" cm="1">
        <f t="array" ref="G648">INDEX($B$5:$B$1012, F648)</f>
        <v>42208</v>
      </c>
      <c r="H648" s="69" cm="1">
        <f t="array" ref="H648">INDEX($C$5:$C$1012, F648)</f>
        <v>46.11</v>
      </c>
      <c r="I648" s="70" cm="1">
        <f t="array" ref="I648">INDEX($D$5:$D$1012, F648)</f>
        <v>33708200</v>
      </c>
    </row>
    <row r="649" spans="2:9" x14ac:dyDescent="0.2">
      <c r="B649" s="62">
        <v>41802</v>
      </c>
      <c r="C649" s="72">
        <v>40.58</v>
      </c>
      <c r="D649" s="71">
        <v>29812690</v>
      </c>
      <c r="E649" s="66" t="s">
        <v>81</v>
      </c>
      <c r="F649" s="16">
        <f t="shared" si="16"/>
        <v>364</v>
      </c>
      <c r="G649" s="67" cm="1">
        <f t="array" ref="G649">INDEX($B$5:$B$1012, F649)</f>
        <v>42209</v>
      </c>
      <c r="H649" s="69" cm="1">
        <f t="array" ref="H649">INDEX($C$5:$C$1012, F649)</f>
        <v>45.94</v>
      </c>
      <c r="I649" s="70" cm="1">
        <f t="array" ref="I649">INDEX($D$5:$D$1012, F649)</f>
        <v>32304070</v>
      </c>
    </row>
    <row r="650" spans="2:9" x14ac:dyDescent="0.2">
      <c r="B650" s="62">
        <v>41801</v>
      </c>
      <c r="C650" s="72">
        <v>40.86</v>
      </c>
      <c r="D650" s="71">
        <v>17635280</v>
      </c>
      <c r="E650" s="66" t="s">
        <v>81</v>
      </c>
      <c r="F650" s="16">
        <f t="shared" si="16"/>
        <v>363</v>
      </c>
      <c r="G650" s="67" cm="1">
        <f t="array" ref="G650">INDEX($B$5:$B$1012, F650)</f>
        <v>42212</v>
      </c>
      <c r="H650" s="69" cm="1">
        <f t="array" ref="H650">INDEX($C$5:$C$1012, F650)</f>
        <v>45.35</v>
      </c>
      <c r="I650" s="70" cm="1">
        <f t="array" ref="I650">INDEX($D$5:$D$1012, F650)</f>
        <v>39472930</v>
      </c>
    </row>
    <row r="651" spans="2:9" x14ac:dyDescent="0.2">
      <c r="B651" s="62">
        <v>41800</v>
      </c>
      <c r="C651" s="72">
        <v>41.11</v>
      </c>
      <c r="D651" s="71">
        <v>15002270</v>
      </c>
      <c r="E651" s="66" t="s">
        <v>81</v>
      </c>
      <c r="F651" s="16">
        <f t="shared" si="16"/>
        <v>362</v>
      </c>
      <c r="G651" s="67" cm="1">
        <f t="array" ref="G651">INDEX($B$5:$B$1012, F651)</f>
        <v>42213</v>
      </c>
      <c r="H651" s="69" cm="1">
        <f t="array" ref="H651">INDEX($C$5:$C$1012, F651)</f>
        <v>45.34</v>
      </c>
      <c r="I651" s="70" cm="1">
        <f t="array" ref="I651">INDEX($D$5:$D$1012, F651)</f>
        <v>34309080</v>
      </c>
    </row>
    <row r="652" spans="2:9" x14ac:dyDescent="0.2">
      <c r="B652" s="62">
        <v>41799</v>
      </c>
      <c r="C652" s="72">
        <v>41.27</v>
      </c>
      <c r="D652" s="71">
        <v>15011640</v>
      </c>
      <c r="E652" s="66" t="s">
        <v>81</v>
      </c>
      <c r="F652" s="16">
        <f t="shared" si="16"/>
        <v>361</v>
      </c>
      <c r="G652" s="67" cm="1">
        <f t="array" ref="G652">INDEX($B$5:$B$1012, F652)</f>
        <v>42214</v>
      </c>
      <c r="H652" s="69" cm="1">
        <f t="array" ref="H652">INDEX($C$5:$C$1012, F652)</f>
        <v>46.29</v>
      </c>
      <c r="I652" s="70" cm="1">
        <f t="array" ref="I652">INDEX($D$5:$D$1012, F652)</f>
        <v>40924210</v>
      </c>
    </row>
    <row r="653" spans="2:9" x14ac:dyDescent="0.2">
      <c r="B653" s="62">
        <v>41796</v>
      </c>
      <c r="C653" s="72">
        <v>41.48</v>
      </c>
      <c r="D653" s="71">
        <v>24042030</v>
      </c>
      <c r="E653" s="66" t="s">
        <v>81</v>
      </c>
      <c r="F653" s="16">
        <f t="shared" si="16"/>
        <v>360</v>
      </c>
      <c r="G653" s="67" cm="1">
        <f t="array" ref="G653">INDEX($B$5:$B$1012, F653)</f>
        <v>42215</v>
      </c>
      <c r="H653" s="69" cm="1">
        <f t="array" ref="H653">INDEX($C$5:$C$1012, F653)</f>
        <v>46.88</v>
      </c>
      <c r="I653" s="70" cm="1">
        <f t="array" ref="I653">INDEX($D$5:$D$1012, F653)</f>
        <v>39755700</v>
      </c>
    </row>
    <row r="654" spans="2:9" x14ac:dyDescent="0.2">
      <c r="B654" s="62">
        <v>41795</v>
      </c>
      <c r="C654" s="72">
        <v>41.21</v>
      </c>
      <c r="D654" s="71">
        <v>31839900</v>
      </c>
      <c r="E654" s="66" t="s">
        <v>81</v>
      </c>
      <c r="F654" s="16">
        <f t="shared" si="16"/>
        <v>359</v>
      </c>
      <c r="G654" s="67" cm="1">
        <f t="array" ref="G654">INDEX($B$5:$B$1012, F654)</f>
        <v>42216</v>
      </c>
      <c r="H654" s="69" cm="1">
        <f t="array" ref="H654">INDEX($C$5:$C$1012, F654)</f>
        <v>46.7</v>
      </c>
      <c r="I654" s="70" cm="1">
        <f t="array" ref="I654">INDEX($D$5:$D$1012, F654)</f>
        <v>31192430</v>
      </c>
    </row>
    <row r="655" spans="2:9" x14ac:dyDescent="0.2">
      <c r="B655" s="62">
        <v>41794</v>
      </c>
      <c r="C655" s="72">
        <v>40.32</v>
      </c>
      <c r="D655" s="71">
        <v>23198020</v>
      </c>
      <c r="E655" s="66" t="s">
        <v>81</v>
      </c>
      <c r="F655" s="16">
        <f t="shared" si="16"/>
        <v>358</v>
      </c>
      <c r="G655" s="67" cm="1">
        <f t="array" ref="G655">INDEX($B$5:$B$1012, F655)</f>
        <v>42219</v>
      </c>
      <c r="H655" s="69" cm="1">
        <f t="array" ref="H655">INDEX($C$5:$C$1012, F655)</f>
        <v>46.81</v>
      </c>
      <c r="I655" s="70" cm="1">
        <f t="array" ref="I655">INDEX($D$5:$D$1012, F655)</f>
        <v>23919340</v>
      </c>
    </row>
    <row r="656" spans="2:9" x14ac:dyDescent="0.2">
      <c r="B656" s="62">
        <v>41793</v>
      </c>
      <c r="C656" s="72">
        <v>40.29</v>
      </c>
      <c r="D656" s="71">
        <v>18041370</v>
      </c>
      <c r="E656" s="66" t="s">
        <v>81</v>
      </c>
      <c r="F656" s="16">
        <f t="shared" si="16"/>
        <v>357</v>
      </c>
      <c r="G656" s="67" cm="1">
        <f t="array" ref="G656">INDEX($B$5:$B$1012, F656)</f>
        <v>42220</v>
      </c>
      <c r="H656" s="69" cm="1">
        <f t="array" ref="H656">INDEX($C$5:$C$1012, F656)</f>
        <v>47.54</v>
      </c>
      <c r="I656" s="70" cm="1">
        <f t="array" ref="I656">INDEX($D$5:$D$1012, F656)</f>
        <v>33306110</v>
      </c>
    </row>
    <row r="657" spans="2:9" x14ac:dyDescent="0.2">
      <c r="B657" s="62">
        <v>41792</v>
      </c>
      <c r="C657" s="72">
        <v>40.79</v>
      </c>
      <c r="D657" s="71">
        <v>18493950</v>
      </c>
      <c r="E657" s="66" t="s">
        <v>81</v>
      </c>
      <c r="F657" s="16">
        <f t="shared" si="16"/>
        <v>356</v>
      </c>
      <c r="G657" s="67" cm="1">
        <f t="array" ref="G657">INDEX($B$5:$B$1012, F657)</f>
        <v>42221</v>
      </c>
      <c r="H657" s="69" cm="1">
        <f t="array" ref="H657">INDEX($C$5:$C$1012, F657)</f>
        <v>47.58</v>
      </c>
      <c r="I657" s="70" cm="1">
        <f t="array" ref="I657">INDEX($D$5:$D$1012, F657)</f>
        <v>27003740</v>
      </c>
    </row>
    <row r="658" spans="2:9" x14ac:dyDescent="0.2">
      <c r="B658" s="62">
        <v>41789</v>
      </c>
      <c r="C658" s="72">
        <v>40.94</v>
      </c>
      <c r="D658" s="71">
        <v>34564370</v>
      </c>
      <c r="E658" s="66" t="s">
        <v>81</v>
      </c>
      <c r="F658" s="16">
        <f t="shared" si="16"/>
        <v>355</v>
      </c>
      <c r="G658" s="67" cm="1">
        <f t="array" ref="G658">INDEX($B$5:$B$1012, F658)</f>
        <v>42222</v>
      </c>
      <c r="H658" s="69" cm="1">
        <f t="array" ref="H658">INDEX($C$5:$C$1012, F658)</f>
        <v>46.62</v>
      </c>
      <c r="I658" s="70" cm="1">
        <f t="array" ref="I658">INDEX($D$5:$D$1012, F658)</f>
        <v>27344040</v>
      </c>
    </row>
    <row r="659" spans="2:9" x14ac:dyDescent="0.2">
      <c r="B659" s="62">
        <v>41788</v>
      </c>
      <c r="C659" s="72">
        <v>40.340000000000003</v>
      </c>
      <c r="D659" s="71">
        <v>19887140</v>
      </c>
      <c r="E659" s="66" t="s">
        <v>81</v>
      </c>
      <c r="F659" s="16">
        <f t="shared" si="16"/>
        <v>354</v>
      </c>
      <c r="G659" s="67" cm="1">
        <f t="array" ref="G659">INDEX($B$5:$B$1012, F659)</f>
        <v>42223</v>
      </c>
      <c r="H659" s="69" cm="1">
        <f t="array" ref="H659">INDEX($C$5:$C$1012, F659)</f>
        <v>46.74</v>
      </c>
      <c r="I659" s="70" cm="1">
        <f t="array" ref="I659">INDEX($D$5:$D$1012, F659)</f>
        <v>19158590</v>
      </c>
    </row>
    <row r="660" spans="2:9" x14ac:dyDescent="0.2">
      <c r="B660" s="62">
        <v>41787</v>
      </c>
      <c r="C660" s="72">
        <v>40.01</v>
      </c>
      <c r="D660" s="71">
        <v>25711440</v>
      </c>
      <c r="E660" s="66" t="s">
        <v>81</v>
      </c>
      <c r="F660" s="16">
        <f t="shared" si="16"/>
        <v>353</v>
      </c>
      <c r="G660" s="67" cm="1">
        <f t="array" ref="G660">INDEX($B$5:$B$1012, F660)</f>
        <v>42226</v>
      </c>
      <c r="H660" s="69" cm="1">
        <f t="array" ref="H660">INDEX($C$5:$C$1012, F660)</f>
        <v>47.33</v>
      </c>
      <c r="I660" s="70" cm="1">
        <f t="array" ref="I660">INDEX($D$5:$D$1012, F660)</f>
        <v>23045530</v>
      </c>
    </row>
    <row r="661" spans="2:9" x14ac:dyDescent="0.2">
      <c r="B661" s="62">
        <v>41786</v>
      </c>
      <c r="C661" s="72">
        <v>40.19</v>
      </c>
      <c r="D661" s="71">
        <v>26160450</v>
      </c>
      <c r="E661" s="66" t="s">
        <v>81</v>
      </c>
      <c r="F661" s="16">
        <f t="shared" si="16"/>
        <v>352</v>
      </c>
      <c r="G661" s="67" cm="1">
        <f t="array" ref="G661">INDEX($B$5:$B$1012, F661)</f>
        <v>42227</v>
      </c>
      <c r="H661" s="69" cm="1">
        <f t="array" ref="H661">INDEX($C$5:$C$1012, F661)</f>
        <v>46.41</v>
      </c>
      <c r="I661" s="70" cm="1">
        <f t="array" ref="I661">INDEX($D$5:$D$1012, F661)</f>
        <v>28757610</v>
      </c>
    </row>
    <row r="662" spans="2:9" x14ac:dyDescent="0.2">
      <c r="B662" s="62">
        <v>41782</v>
      </c>
      <c r="C662" s="72">
        <v>40.119999999999997</v>
      </c>
      <c r="D662" s="71">
        <v>18013300</v>
      </c>
      <c r="E662" s="66" t="s">
        <v>81</v>
      </c>
      <c r="F662" s="16">
        <f t="shared" si="16"/>
        <v>351</v>
      </c>
      <c r="G662" s="67" cm="1">
        <f t="array" ref="G662">INDEX($B$5:$B$1012, F662)</f>
        <v>42228</v>
      </c>
      <c r="H662" s="69" cm="1">
        <f t="array" ref="H662">INDEX($C$5:$C$1012, F662)</f>
        <v>46.74</v>
      </c>
      <c r="I662" s="70" cm="1">
        <f t="array" ref="I662">INDEX($D$5:$D$1012, F662)</f>
        <v>30184710</v>
      </c>
    </row>
    <row r="663" spans="2:9" x14ac:dyDescent="0.2">
      <c r="B663" s="62">
        <v>41781</v>
      </c>
      <c r="C663" s="72">
        <v>40.1</v>
      </c>
      <c r="D663" s="71">
        <v>20201010</v>
      </c>
      <c r="E663" s="66" t="s">
        <v>81</v>
      </c>
      <c r="F663" s="16">
        <f t="shared" si="16"/>
        <v>350</v>
      </c>
      <c r="G663" s="67" cm="1">
        <f t="array" ref="G663">INDEX($B$5:$B$1012, F663)</f>
        <v>42229</v>
      </c>
      <c r="H663" s="69" cm="1">
        <f t="array" ref="H663">INDEX($C$5:$C$1012, F663)</f>
        <v>46.73</v>
      </c>
      <c r="I663" s="70" cm="1">
        <f t="array" ref="I663">INDEX($D$5:$D$1012, F663)</f>
        <v>22612650</v>
      </c>
    </row>
    <row r="664" spans="2:9" x14ac:dyDescent="0.2">
      <c r="B664" s="62">
        <v>41780</v>
      </c>
      <c r="C664" s="72">
        <v>40.35</v>
      </c>
      <c r="D664" s="71">
        <v>22377460</v>
      </c>
      <c r="E664" s="66" t="s">
        <v>81</v>
      </c>
      <c r="F664" s="16">
        <f t="shared" si="16"/>
        <v>349</v>
      </c>
      <c r="G664" s="67" cm="1">
        <f t="array" ref="G664">INDEX($B$5:$B$1012, F664)</f>
        <v>42230</v>
      </c>
      <c r="H664" s="69" cm="1">
        <f t="array" ref="H664">INDEX($C$5:$C$1012, F664)</f>
        <v>47</v>
      </c>
      <c r="I664" s="70" cm="1">
        <f t="array" ref="I664">INDEX($D$5:$D$1012, F664)</f>
        <v>21460830</v>
      </c>
    </row>
    <row r="665" spans="2:9" x14ac:dyDescent="0.2">
      <c r="B665" s="62">
        <v>41779</v>
      </c>
      <c r="C665" s="72">
        <v>39.68</v>
      </c>
      <c r="D665" s="71">
        <v>21318920</v>
      </c>
      <c r="E665" s="66" t="s">
        <v>81</v>
      </c>
      <c r="F665" s="16">
        <f t="shared" si="16"/>
        <v>348</v>
      </c>
      <c r="G665" s="67" cm="1">
        <f t="array" ref="G665">INDEX($B$5:$B$1012, F665)</f>
        <v>42233</v>
      </c>
      <c r="H665" s="69" cm="1">
        <f t="array" ref="H665">INDEX($C$5:$C$1012, F665)</f>
        <v>47.32</v>
      </c>
      <c r="I665" s="70" cm="1">
        <f t="array" ref="I665">INDEX($D$5:$D$1012, F665)</f>
        <v>21039660</v>
      </c>
    </row>
    <row r="666" spans="2:9" x14ac:dyDescent="0.2">
      <c r="B666" s="62">
        <v>41778</v>
      </c>
      <c r="C666" s="72">
        <v>39.75</v>
      </c>
      <c r="D666" s="71">
        <v>23640880</v>
      </c>
      <c r="E666" s="66" t="s">
        <v>81</v>
      </c>
      <c r="F666" s="16">
        <f t="shared" si="16"/>
        <v>347</v>
      </c>
      <c r="G666" s="67" cm="1">
        <f t="array" ref="G666">INDEX($B$5:$B$1012, F666)</f>
        <v>42234</v>
      </c>
      <c r="H666" s="69" cm="1">
        <f t="array" ref="H666">INDEX($C$5:$C$1012, F666)</f>
        <v>47.27</v>
      </c>
      <c r="I666" s="70" cm="1">
        <f t="array" ref="I666">INDEX($D$5:$D$1012, F666)</f>
        <v>23572990</v>
      </c>
    </row>
    <row r="667" spans="2:9" x14ac:dyDescent="0.2">
      <c r="B667" s="62">
        <v>41775</v>
      </c>
      <c r="C667" s="72">
        <v>39.83</v>
      </c>
      <c r="D667" s="71">
        <v>29867030</v>
      </c>
      <c r="E667" s="66" t="s">
        <v>81</v>
      </c>
      <c r="F667" s="16">
        <f t="shared" si="16"/>
        <v>346</v>
      </c>
      <c r="G667" s="67" cm="1">
        <f t="array" ref="G667">INDEX($B$5:$B$1012, F667)</f>
        <v>42235</v>
      </c>
      <c r="H667" s="69" cm="1">
        <f t="array" ref="H667">INDEX($C$5:$C$1012, F667)</f>
        <v>46.61</v>
      </c>
      <c r="I667" s="70" cm="1">
        <f t="array" ref="I667">INDEX($D$5:$D$1012, F667)</f>
        <v>31472060</v>
      </c>
    </row>
    <row r="668" spans="2:9" x14ac:dyDescent="0.2">
      <c r="B668" s="62">
        <v>41774</v>
      </c>
      <c r="C668" s="72">
        <v>39.6</v>
      </c>
      <c r="D668" s="71">
        <v>37717220</v>
      </c>
      <c r="E668" s="66" t="s">
        <v>81</v>
      </c>
      <c r="F668" s="16">
        <f t="shared" si="16"/>
        <v>345</v>
      </c>
      <c r="G668" s="67" cm="1">
        <f t="array" ref="G668">INDEX($B$5:$B$1012, F668)</f>
        <v>42236</v>
      </c>
      <c r="H668" s="69" cm="1">
        <f t="array" ref="H668">INDEX($C$5:$C$1012, F668)</f>
        <v>45.66</v>
      </c>
      <c r="I668" s="70" cm="1">
        <f t="array" ref="I668">INDEX($D$5:$D$1012, F668)</f>
        <v>36176380</v>
      </c>
    </row>
    <row r="669" spans="2:9" x14ac:dyDescent="0.2">
      <c r="B669" s="62">
        <v>41773</v>
      </c>
      <c r="C669" s="72">
        <v>40.24</v>
      </c>
      <c r="D669" s="71">
        <v>18803840</v>
      </c>
      <c r="E669" s="66" t="s">
        <v>81</v>
      </c>
      <c r="F669" s="16">
        <f t="shared" si="16"/>
        <v>344</v>
      </c>
      <c r="G669" s="67" cm="1">
        <f t="array" ref="G669">INDEX($B$5:$B$1012, F669)</f>
        <v>42237</v>
      </c>
      <c r="H669" s="69" cm="1">
        <f t="array" ref="H669">INDEX($C$5:$C$1012, F669)</f>
        <v>43.07</v>
      </c>
      <c r="I669" s="70" cm="1">
        <f t="array" ref="I669">INDEX($D$5:$D$1012, F669)</f>
        <v>69463900</v>
      </c>
    </row>
    <row r="670" spans="2:9" x14ac:dyDescent="0.2">
      <c r="B670" s="62">
        <v>41772</v>
      </c>
      <c r="C670" s="72">
        <v>40.42</v>
      </c>
      <c r="D670" s="71">
        <v>26994040</v>
      </c>
      <c r="E670" s="66" t="s">
        <v>81</v>
      </c>
      <c r="F670" s="16">
        <f t="shared" si="16"/>
        <v>343</v>
      </c>
      <c r="G670" s="67" cm="1">
        <f t="array" ref="G670">INDEX($B$5:$B$1012, F670)</f>
        <v>42240</v>
      </c>
      <c r="H670" s="69" cm="1">
        <f t="array" ref="H670">INDEX($C$5:$C$1012, F670)</f>
        <v>41.68</v>
      </c>
      <c r="I670" s="70" cm="1">
        <f t="array" ref="I670">INDEX($D$5:$D$1012, F670)</f>
        <v>88489910</v>
      </c>
    </row>
    <row r="671" spans="2:9" x14ac:dyDescent="0.2">
      <c r="B671" s="62">
        <v>41771</v>
      </c>
      <c r="C671" s="72">
        <v>39.97</v>
      </c>
      <c r="D671" s="71">
        <v>22761620</v>
      </c>
      <c r="E671" s="66" t="s">
        <v>81</v>
      </c>
      <c r="F671" s="16">
        <f t="shared" si="16"/>
        <v>342</v>
      </c>
      <c r="G671" s="67" cm="1">
        <f t="array" ref="G671">INDEX($B$5:$B$1012, F671)</f>
        <v>42241</v>
      </c>
      <c r="H671" s="69" cm="1">
        <f t="array" ref="H671">INDEX($C$5:$C$1012, F671)</f>
        <v>40.47</v>
      </c>
      <c r="I671" s="70" cm="1">
        <f t="array" ref="I671">INDEX($D$5:$D$1012, F671)</f>
        <v>70369920</v>
      </c>
    </row>
    <row r="672" spans="2:9" x14ac:dyDescent="0.2">
      <c r="B672" s="62">
        <v>41768</v>
      </c>
      <c r="C672" s="72">
        <v>39.54</v>
      </c>
      <c r="D672" s="71">
        <v>29646100</v>
      </c>
      <c r="E672" s="66" t="s">
        <v>81</v>
      </c>
      <c r="F672" s="16">
        <f t="shared" si="16"/>
        <v>341</v>
      </c>
      <c r="G672" s="67" cm="1">
        <f t="array" ref="G672">INDEX($B$5:$B$1012, F672)</f>
        <v>42242</v>
      </c>
      <c r="H672" s="69" cm="1">
        <f t="array" ref="H672">INDEX($C$5:$C$1012, F672)</f>
        <v>42.71</v>
      </c>
      <c r="I672" s="70" cm="1">
        <f t="array" ref="I672">INDEX($D$5:$D$1012, F672)</f>
        <v>63297300</v>
      </c>
    </row>
    <row r="673" spans="2:9" x14ac:dyDescent="0.2">
      <c r="B673" s="62">
        <v>41767</v>
      </c>
      <c r="C673" s="72">
        <v>39.64</v>
      </c>
      <c r="D673" s="71">
        <v>32089010</v>
      </c>
      <c r="E673" s="66" t="s">
        <v>81</v>
      </c>
      <c r="F673" s="16">
        <f t="shared" si="16"/>
        <v>340</v>
      </c>
      <c r="G673" s="67" cm="1">
        <f t="array" ref="G673">INDEX($B$5:$B$1012, F673)</f>
        <v>42243</v>
      </c>
      <c r="H673" s="69" cm="1">
        <f t="array" ref="H673">INDEX($C$5:$C$1012, F673)</f>
        <v>43.9</v>
      </c>
      <c r="I673" s="70" cm="1">
        <f t="array" ref="I673">INDEX($D$5:$D$1012, F673)</f>
        <v>50612610</v>
      </c>
    </row>
    <row r="674" spans="2:9" x14ac:dyDescent="0.2">
      <c r="B674" s="62">
        <v>41766</v>
      </c>
      <c r="C674" s="72">
        <v>39.424999999999997</v>
      </c>
      <c r="D674" s="71">
        <v>41731030</v>
      </c>
      <c r="E674" s="66" t="s">
        <v>81</v>
      </c>
      <c r="F674" s="16">
        <f t="shared" si="16"/>
        <v>339</v>
      </c>
      <c r="G674" s="67" cm="1">
        <f t="array" ref="G674">INDEX($B$5:$B$1012, F674)</f>
        <v>42244</v>
      </c>
      <c r="H674" s="69" cm="1">
        <f t="array" ref="H674">INDEX($C$5:$C$1012, F674)</f>
        <v>43.93</v>
      </c>
      <c r="I674" s="70" cm="1">
        <f t="array" ref="I674">INDEX($D$5:$D$1012, F674)</f>
        <v>28243230</v>
      </c>
    </row>
    <row r="675" spans="2:9" x14ac:dyDescent="0.2">
      <c r="B675" s="62">
        <v>41765</v>
      </c>
      <c r="C675" s="72">
        <v>39.06</v>
      </c>
      <c r="D675" s="71">
        <v>27105700</v>
      </c>
      <c r="E675" s="66" t="s">
        <v>81</v>
      </c>
      <c r="F675" s="16">
        <f t="shared" si="16"/>
        <v>338</v>
      </c>
      <c r="G675" s="67" cm="1">
        <f t="array" ref="G675">INDEX($B$5:$B$1012, F675)</f>
        <v>42247</v>
      </c>
      <c r="H675" s="69" cm="1">
        <f t="array" ref="H675">INDEX($C$5:$C$1012, F675)</f>
        <v>43.52</v>
      </c>
      <c r="I675" s="70" cm="1">
        <f t="array" ref="I675">INDEX($D$5:$D$1012, F675)</f>
        <v>34434480</v>
      </c>
    </row>
    <row r="676" spans="2:9" x14ac:dyDescent="0.2">
      <c r="B676" s="62">
        <v>41764</v>
      </c>
      <c r="C676" s="72">
        <v>39.43</v>
      </c>
      <c r="D676" s="71">
        <v>22438370</v>
      </c>
      <c r="E676" s="66" t="s">
        <v>81</v>
      </c>
      <c r="F676" s="16">
        <f t="shared" si="16"/>
        <v>337</v>
      </c>
      <c r="G676" s="67" cm="1">
        <f t="array" ref="G676">INDEX($B$5:$B$1012, F676)</f>
        <v>42248</v>
      </c>
      <c r="H676" s="69" cm="1">
        <f t="array" ref="H676">INDEX($C$5:$C$1012, F676)</f>
        <v>41.82</v>
      </c>
      <c r="I676" s="70" cm="1">
        <f t="array" ref="I676">INDEX($D$5:$D$1012, F676)</f>
        <v>49682210</v>
      </c>
    </row>
    <row r="677" spans="2:9" x14ac:dyDescent="0.2">
      <c r="B677" s="62">
        <v>41761</v>
      </c>
      <c r="C677" s="72">
        <v>39.69</v>
      </c>
      <c r="D677" s="71">
        <v>43404480</v>
      </c>
      <c r="E677" s="66" t="s">
        <v>81</v>
      </c>
      <c r="F677" s="16">
        <f t="shared" si="16"/>
        <v>336</v>
      </c>
      <c r="G677" s="67" cm="1">
        <f t="array" ref="G677">INDEX($B$5:$B$1012, F677)</f>
        <v>42249</v>
      </c>
      <c r="H677" s="69" cm="1">
        <f t="array" ref="H677">INDEX($C$5:$C$1012, F677)</f>
        <v>43.36</v>
      </c>
      <c r="I677" s="70" cm="1">
        <f t="array" ref="I677">INDEX($D$5:$D$1012, F677)</f>
        <v>37624230</v>
      </c>
    </row>
    <row r="678" spans="2:9" x14ac:dyDescent="0.2">
      <c r="B678" s="62">
        <v>41760</v>
      </c>
      <c r="C678" s="72">
        <v>40</v>
      </c>
      <c r="D678" s="71">
        <v>28787400</v>
      </c>
      <c r="E678" s="66" t="s">
        <v>81</v>
      </c>
      <c r="F678" s="16">
        <f t="shared" si="16"/>
        <v>335</v>
      </c>
      <c r="G678" s="67" cm="1">
        <f t="array" ref="G678">INDEX($B$5:$B$1012, F678)</f>
        <v>42250</v>
      </c>
      <c r="H678" s="69" cm="1">
        <f t="array" ref="H678">INDEX($C$5:$C$1012, F678)</f>
        <v>43.5</v>
      </c>
      <c r="I678" s="70" cm="1">
        <f t="array" ref="I678">INDEX($D$5:$D$1012, F678)</f>
        <v>28206410</v>
      </c>
    </row>
    <row r="679" spans="2:9" x14ac:dyDescent="0.2">
      <c r="B679" s="62">
        <v>41759</v>
      </c>
      <c r="C679" s="72">
        <v>40.4</v>
      </c>
      <c r="D679" s="71">
        <v>35421760</v>
      </c>
      <c r="E679" s="66" t="s">
        <v>81</v>
      </c>
      <c r="F679" s="16">
        <f t="shared" si="16"/>
        <v>334</v>
      </c>
      <c r="G679" s="67" cm="1">
        <f t="array" ref="G679">INDEX($B$5:$B$1012, F679)</f>
        <v>42251</v>
      </c>
      <c r="H679" s="69" cm="1">
        <f t="array" ref="H679">INDEX($C$5:$C$1012, F679)</f>
        <v>42.61</v>
      </c>
      <c r="I679" s="70" cm="1">
        <f t="array" ref="I679">INDEX($D$5:$D$1012, F679)</f>
        <v>37019110</v>
      </c>
    </row>
    <row r="680" spans="2:9" x14ac:dyDescent="0.2">
      <c r="B680" s="62">
        <v>41758</v>
      </c>
      <c r="C680" s="72">
        <v>40.51</v>
      </c>
      <c r="D680" s="71">
        <v>29625310</v>
      </c>
      <c r="E680" s="66" t="s">
        <v>81</v>
      </c>
      <c r="F680" s="16">
        <f t="shared" si="16"/>
        <v>333</v>
      </c>
      <c r="G680" s="67" cm="1">
        <f t="array" ref="G680">INDEX($B$5:$B$1012, F680)</f>
        <v>42255</v>
      </c>
      <c r="H680" s="69" cm="1">
        <f t="array" ref="H680">INDEX($C$5:$C$1012, F680)</f>
        <v>43.89</v>
      </c>
      <c r="I680" s="70" cm="1">
        <f t="array" ref="I680">INDEX($D$5:$D$1012, F680)</f>
        <v>32411680</v>
      </c>
    </row>
    <row r="681" spans="2:9" x14ac:dyDescent="0.2">
      <c r="B681" s="62">
        <v>41757</v>
      </c>
      <c r="C681" s="72">
        <v>40.869999999999997</v>
      </c>
      <c r="D681" s="71">
        <v>50598770</v>
      </c>
      <c r="E681" s="66" t="s">
        <v>81</v>
      </c>
      <c r="F681" s="16">
        <f t="shared" si="16"/>
        <v>332</v>
      </c>
      <c r="G681" s="67" cm="1">
        <f t="array" ref="G681">INDEX($B$5:$B$1012, F681)</f>
        <v>42256</v>
      </c>
      <c r="H681" s="69" cm="1">
        <f t="array" ref="H681">INDEX($C$5:$C$1012, F681)</f>
        <v>43.07</v>
      </c>
      <c r="I681" s="70" cm="1">
        <f t="array" ref="I681">INDEX($D$5:$D$1012, F681)</f>
        <v>33448580</v>
      </c>
    </row>
    <row r="682" spans="2:9" x14ac:dyDescent="0.2">
      <c r="B682" s="62">
        <v>41754</v>
      </c>
      <c r="C682" s="72">
        <v>39.909999999999997</v>
      </c>
      <c r="D682" s="71">
        <v>56869690</v>
      </c>
      <c r="E682" s="66" t="s">
        <v>81</v>
      </c>
      <c r="F682" s="16">
        <f t="shared" si="16"/>
        <v>331</v>
      </c>
      <c r="G682" s="67" cm="1">
        <f t="array" ref="G682">INDEX($B$5:$B$1012, F682)</f>
        <v>42257</v>
      </c>
      <c r="H682" s="69" cm="1">
        <f t="array" ref="H682">INDEX($C$5:$C$1012, F682)</f>
        <v>43.29</v>
      </c>
      <c r="I682" s="70" cm="1">
        <f t="array" ref="I682">INDEX($D$5:$D$1012, F682)</f>
        <v>31313520</v>
      </c>
    </row>
    <row r="683" spans="2:9" x14ac:dyDescent="0.2">
      <c r="B683" s="62">
        <v>41753</v>
      </c>
      <c r="C683" s="72">
        <v>39.86</v>
      </c>
      <c r="D683" s="71">
        <v>41840750</v>
      </c>
      <c r="E683" s="66" t="s">
        <v>81</v>
      </c>
      <c r="F683" s="16">
        <f t="shared" si="16"/>
        <v>330</v>
      </c>
      <c r="G683" s="67" cm="1">
        <f t="array" ref="G683">INDEX($B$5:$B$1012, F683)</f>
        <v>42258</v>
      </c>
      <c r="H683" s="69" cm="1">
        <f t="array" ref="H683">INDEX($C$5:$C$1012, F683)</f>
        <v>43.48</v>
      </c>
      <c r="I683" s="70" cm="1">
        <f t="array" ref="I683">INDEX($D$5:$D$1012, F683)</f>
        <v>26475350</v>
      </c>
    </row>
    <row r="684" spans="2:9" x14ac:dyDescent="0.2">
      <c r="B684" s="62">
        <v>41752</v>
      </c>
      <c r="C684" s="72">
        <v>39.69</v>
      </c>
      <c r="D684" s="71">
        <v>24556290</v>
      </c>
      <c r="E684" s="66" t="s">
        <v>81</v>
      </c>
      <c r="F684" s="16">
        <f t="shared" si="16"/>
        <v>329</v>
      </c>
      <c r="G684" s="67" cm="1">
        <f t="array" ref="G684">INDEX($B$5:$B$1012, F684)</f>
        <v>42261</v>
      </c>
      <c r="H684" s="69" cm="1">
        <f t="array" ref="H684">INDEX($C$5:$C$1012, F684)</f>
        <v>43.04</v>
      </c>
      <c r="I684" s="70" cm="1">
        <f t="array" ref="I684">INDEX($D$5:$D$1012, F684)</f>
        <v>23654490</v>
      </c>
    </row>
    <row r="685" spans="2:9" x14ac:dyDescent="0.2">
      <c r="B685" s="62">
        <v>41751</v>
      </c>
      <c r="C685" s="72">
        <v>39.99</v>
      </c>
      <c r="D685" s="71">
        <v>27052740</v>
      </c>
      <c r="E685" s="66" t="s">
        <v>81</v>
      </c>
      <c r="F685" s="16">
        <f t="shared" si="16"/>
        <v>328</v>
      </c>
      <c r="G685" s="67" cm="1">
        <f t="array" ref="G685">INDEX($B$5:$B$1012, F685)</f>
        <v>42262</v>
      </c>
      <c r="H685" s="69" cm="1">
        <f t="array" ref="H685">INDEX($C$5:$C$1012, F685)</f>
        <v>43.98</v>
      </c>
      <c r="I685" s="70" cm="1">
        <f t="array" ref="I685">INDEX($D$5:$D$1012, F685)</f>
        <v>28831030</v>
      </c>
    </row>
    <row r="686" spans="2:9" x14ac:dyDescent="0.2">
      <c r="B686" s="62">
        <v>41750</v>
      </c>
      <c r="C686" s="72">
        <v>39.94</v>
      </c>
      <c r="D686" s="71">
        <v>22200560</v>
      </c>
      <c r="E686" s="66" t="s">
        <v>81</v>
      </c>
      <c r="F686" s="16">
        <f t="shared" si="16"/>
        <v>327</v>
      </c>
      <c r="G686" s="67" cm="1">
        <f t="array" ref="G686">INDEX($B$5:$B$1012, F686)</f>
        <v>42263</v>
      </c>
      <c r="H686" s="69" cm="1">
        <f t="array" ref="H686">INDEX($C$5:$C$1012, F686)</f>
        <v>44.3</v>
      </c>
      <c r="I686" s="70" cm="1">
        <f t="array" ref="I686">INDEX($D$5:$D$1012, F686)</f>
        <v>23337620</v>
      </c>
    </row>
    <row r="687" spans="2:9" x14ac:dyDescent="0.2">
      <c r="B687" s="62">
        <v>41746</v>
      </c>
      <c r="C687" s="72">
        <v>40.01</v>
      </c>
      <c r="D687" s="71">
        <v>36688000</v>
      </c>
      <c r="E687" s="66" t="s">
        <v>81</v>
      </c>
      <c r="F687" s="16">
        <f t="shared" si="16"/>
        <v>326</v>
      </c>
      <c r="G687" s="67" cm="1">
        <f t="array" ref="G687">INDEX($B$5:$B$1012, F687)</f>
        <v>42264</v>
      </c>
      <c r="H687" s="69" cm="1">
        <f t="array" ref="H687">INDEX($C$5:$C$1012, F687)</f>
        <v>44.25</v>
      </c>
      <c r="I687" s="70" cm="1">
        <f t="array" ref="I687">INDEX($D$5:$D$1012, F687)</f>
        <v>29908540</v>
      </c>
    </row>
    <row r="688" spans="2:9" x14ac:dyDescent="0.2">
      <c r="B688" s="62">
        <v>41745</v>
      </c>
      <c r="C688" s="72">
        <v>40.4</v>
      </c>
      <c r="D688" s="71">
        <v>30282610</v>
      </c>
      <c r="E688" s="66" t="s">
        <v>81</v>
      </c>
      <c r="F688" s="16">
        <f t="shared" si="16"/>
        <v>325</v>
      </c>
      <c r="G688" s="67" cm="1">
        <f t="array" ref="G688">INDEX($B$5:$B$1012, F688)</f>
        <v>42265</v>
      </c>
      <c r="H688" s="69" cm="1">
        <f t="array" ref="H688">INDEX($C$5:$C$1012, F688)</f>
        <v>43.48</v>
      </c>
      <c r="I688" s="70" cm="1">
        <f t="array" ref="I688">INDEX($D$5:$D$1012, F688)</f>
        <v>63000180</v>
      </c>
    </row>
    <row r="689" spans="2:9" x14ac:dyDescent="0.2">
      <c r="B689" s="62">
        <v>41744</v>
      </c>
      <c r="C689" s="72">
        <v>39.75</v>
      </c>
      <c r="D689" s="71">
        <v>33966410</v>
      </c>
      <c r="E689" s="66" t="s">
        <v>81</v>
      </c>
      <c r="F689" s="16">
        <f t="shared" si="16"/>
        <v>324</v>
      </c>
      <c r="G689" s="67" cm="1">
        <f t="array" ref="G689">INDEX($B$5:$B$1012, F689)</f>
        <v>42268</v>
      </c>
      <c r="H689" s="69" cm="1">
        <f t="array" ref="H689">INDEX($C$5:$C$1012, F689)</f>
        <v>44.11</v>
      </c>
      <c r="I689" s="70" cm="1">
        <f t="array" ref="I689">INDEX($D$5:$D$1012, F689)</f>
        <v>26084680</v>
      </c>
    </row>
    <row r="690" spans="2:9" x14ac:dyDescent="0.2">
      <c r="B690" s="62">
        <v>41743</v>
      </c>
      <c r="C690" s="72">
        <v>39.18</v>
      </c>
      <c r="D690" s="71">
        <v>32005420</v>
      </c>
      <c r="E690" s="66" t="s">
        <v>81</v>
      </c>
      <c r="F690" s="16">
        <f t="shared" si="16"/>
        <v>323</v>
      </c>
      <c r="G690" s="67" cm="1">
        <f t="array" ref="G690">INDEX($B$5:$B$1012, F690)</f>
        <v>42269</v>
      </c>
      <c r="H690" s="69" cm="1">
        <f t="array" ref="H690">INDEX($C$5:$C$1012, F690)</f>
        <v>43.9</v>
      </c>
      <c r="I690" s="70" cm="1">
        <f t="array" ref="I690">INDEX($D$5:$D$1012, F690)</f>
        <v>28060540</v>
      </c>
    </row>
    <row r="691" spans="2:9" x14ac:dyDescent="0.2">
      <c r="B691" s="62">
        <v>41740</v>
      </c>
      <c r="C691" s="72">
        <v>39.209000000000003</v>
      </c>
      <c r="D691" s="71">
        <v>34329160</v>
      </c>
      <c r="E691" s="66" t="s">
        <v>81</v>
      </c>
      <c r="F691" s="16">
        <f t="shared" si="16"/>
        <v>322</v>
      </c>
      <c r="G691" s="67" cm="1">
        <f t="array" ref="G691">INDEX($B$5:$B$1012, F691)</f>
        <v>42270</v>
      </c>
      <c r="H691" s="69" cm="1">
        <f t="array" ref="H691">INDEX($C$5:$C$1012, F691)</f>
        <v>43.87</v>
      </c>
      <c r="I691" s="70" cm="1">
        <f t="array" ref="I691">INDEX($D$5:$D$1012, F691)</f>
        <v>17099600</v>
      </c>
    </row>
    <row r="692" spans="2:9" x14ac:dyDescent="0.2">
      <c r="B692" s="62">
        <v>41739</v>
      </c>
      <c r="C692" s="72">
        <v>39.36</v>
      </c>
      <c r="D692" s="71">
        <v>45936930</v>
      </c>
      <c r="E692" s="66" t="s">
        <v>81</v>
      </c>
      <c r="F692" s="16">
        <f t="shared" si="16"/>
        <v>321</v>
      </c>
      <c r="G692" s="67" cm="1">
        <f t="array" ref="G692">INDEX($B$5:$B$1012, F692)</f>
        <v>42271</v>
      </c>
      <c r="H692" s="69" cm="1">
        <f t="array" ref="H692">INDEX($C$5:$C$1012, F692)</f>
        <v>43.91</v>
      </c>
      <c r="I692" s="70" cm="1">
        <f t="array" ref="I692">INDEX($D$5:$D$1012, F692)</f>
        <v>27867010</v>
      </c>
    </row>
    <row r="693" spans="2:9" x14ac:dyDescent="0.2">
      <c r="B693" s="62">
        <v>41738</v>
      </c>
      <c r="C693" s="72">
        <v>40.47</v>
      </c>
      <c r="D693" s="71">
        <v>27331630</v>
      </c>
      <c r="E693" s="66" t="s">
        <v>81</v>
      </c>
      <c r="F693" s="16">
        <f t="shared" si="16"/>
        <v>320</v>
      </c>
      <c r="G693" s="67" cm="1">
        <f t="array" ref="G693">INDEX($B$5:$B$1012, F693)</f>
        <v>42272</v>
      </c>
      <c r="H693" s="69" cm="1">
        <f t="array" ref="H693">INDEX($C$5:$C$1012, F693)</f>
        <v>43.94</v>
      </c>
      <c r="I693" s="70" cm="1">
        <f t="array" ref="I693">INDEX($D$5:$D$1012, F693)</f>
        <v>29378050</v>
      </c>
    </row>
    <row r="694" spans="2:9" x14ac:dyDescent="0.2">
      <c r="B694" s="62">
        <v>41737</v>
      </c>
      <c r="C694" s="72">
        <v>39.82</v>
      </c>
      <c r="D694" s="71">
        <v>35918620</v>
      </c>
      <c r="E694" s="66" t="s">
        <v>81</v>
      </c>
      <c r="F694" s="16">
        <f t="shared" si="16"/>
        <v>319</v>
      </c>
      <c r="G694" s="67" cm="1">
        <f t="array" ref="G694">INDEX($B$5:$B$1012, F694)</f>
        <v>42275</v>
      </c>
      <c r="H694" s="69" cm="1">
        <f t="array" ref="H694">INDEX($C$5:$C$1012, F694)</f>
        <v>43.29</v>
      </c>
      <c r="I694" s="70" cm="1">
        <f t="array" ref="I694">INDEX($D$5:$D$1012, F694)</f>
        <v>27454240</v>
      </c>
    </row>
    <row r="695" spans="2:9" x14ac:dyDescent="0.2">
      <c r="B695" s="62">
        <v>41736</v>
      </c>
      <c r="C695" s="72">
        <v>39.799999999999997</v>
      </c>
      <c r="D695" s="71">
        <v>37543980</v>
      </c>
      <c r="E695" s="66" t="s">
        <v>81</v>
      </c>
      <c r="F695" s="16">
        <f t="shared" si="16"/>
        <v>318</v>
      </c>
      <c r="G695" s="67" cm="1">
        <f t="array" ref="G695">INDEX($B$5:$B$1012, F695)</f>
        <v>42276</v>
      </c>
      <c r="H695" s="69" cm="1">
        <f t="array" ref="H695">INDEX($C$5:$C$1012, F695)</f>
        <v>43.44</v>
      </c>
      <c r="I695" s="70" cm="1">
        <f t="array" ref="I695">INDEX($D$5:$D$1012, F695)</f>
        <v>32748610</v>
      </c>
    </row>
    <row r="696" spans="2:9" x14ac:dyDescent="0.2">
      <c r="B696" s="62">
        <v>41733</v>
      </c>
      <c r="C696" s="72">
        <v>39.869999999999997</v>
      </c>
      <c r="D696" s="71">
        <v>51342010</v>
      </c>
      <c r="E696" s="66" t="s">
        <v>81</v>
      </c>
      <c r="F696" s="16">
        <f t="shared" si="16"/>
        <v>317</v>
      </c>
      <c r="G696" s="67" cm="1">
        <f t="array" ref="G696">INDEX($B$5:$B$1012, F696)</f>
        <v>42277</v>
      </c>
      <c r="H696" s="69" cm="1">
        <f t="array" ref="H696">INDEX($C$5:$C$1012, F696)</f>
        <v>44.26</v>
      </c>
      <c r="I696" s="70" cm="1">
        <f t="array" ref="I696">INDEX($D$5:$D$1012, F696)</f>
        <v>34944070</v>
      </c>
    </row>
    <row r="697" spans="2:9" x14ac:dyDescent="0.2">
      <c r="B697" s="62">
        <v>41732</v>
      </c>
      <c r="C697" s="72">
        <v>41.01</v>
      </c>
      <c r="D697" s="71">
        <v>29986320</v>
      </c>
      <c r="E697" s="66" t="s">
        <v>81</v>
      </c>
      <c r="F697" s="16">
        <f t="shared" si="16"/>
        <v>316</v>
      </c>
      <c r="G697" s="67" cm="1">
        <f t="array" ref="G697">INDEX($B$5:$B$1012, F697)</f>
        <v>42278</v>
      </c>
      <c r="H697" s="69" cm="1">
        <f t="array" ref="H697">INDEX($C$5:$C$1012, F697)</f>
        <v>44.61</v>
      </c>
      <c r="I697" s="70" cm="1">
        <f t="array" ref="I697">INDEX($D$5:$D$1012, F697)</f>
        <v>28564790</v>
      </c>
    </row>
    <row r="698" spans="2:9" x14ac:dyDescent="0.2">
      <c r="B698" s="62">
        <v>41731</v>
      </c>
      <c r="C698" s="72">
        <v>41.35</v>
      </c>
      <c r="D698" s="71">
        <v>28614590</v>
      </c>
      <c r="E698" s="66" t="s">
        <v>81</v>
      </c>
      <c r="F698" s="16">
        <f t="shared" si="16"/>
        <v>315</v>
      </c>
      <c r="G698" s="67" cm="1">
        <f t="array" ref="G698">INDEX($B$5:$B$1012, F698)</f>
        <v>42279</v>
      </c>
      <c r="H698" s="69" cm="1">
        <f t="array" ref="H698">INDEX($C$5:$C$1012, F698)</f>
        <v>45.57</v>
      </c>
      <c r="I698" s="70" cm="1">
        <f t="array" ref="I698">INDEX($D$5:$D$1012, F698)</f>
        <v>41789610</v>
      </c>
    </row>
    <row r="699" spans="2:9" x14ac:dyDescent="0.2">
      <c r="B699" s="62">
        <v>41730</v>
      </c>
      <c r="C699" s="72">
        <v>41.42</v>
      </c>
      <c r="D699" s="71">
        <v>32604260</v>
      </c>
      <c r="E699" s="66" t="s">
        <v>81</v>
      </c>
      <c r="F699" s="16">
        <f t="shared" si="16"/>
        <v>314</v>
      </c>
      <c r="G699" s="67" cm="1">
        <f t="array" ref="G699">INDEX($B$5:$B$1012, F699)</f>
        <v>42282</v>
      </c>
      <c r="H699" s="69" cm="1">
        <f t="array" ref="H699">INDEX($C$5:$C$1012, F699)</f>
        <v>46.63</v>
      </c>
      <c r="I699" s="70" cm="1">
        <f t="array" ref="I699">INDEX($D$5:$D$1012, F699)</f>
        <v>33546080</v>
      </c>
    </row>
    <row r="700" spans="2:9" x14ac:dyDescent="0.2">
      <c r="B700" s="62">
        <v>41729</v>
      </c>
      <c r="C700" s="72">
        <v>40.99</v>
      </c>
      <c r="D700" s="71">
        <v>46840570</v>
      </c>
      <c r="E700" s="66" t="s">
        <v>81</v>
      </c>
      <c r="F700" s="16">
        <f t="shared" si="16"/>
        <v>313</v>
      </c>
      <c r="G700" s="67" cm="1">
        <f t="array" ref="G700">INDEX($B$5:$B$1012, F700)</f>
        <v>42283</v>
      </c>
      <c r="H700" s="69" cm="1">
        <f t="array" ref="H700">INDEX($C$5:$C$1012, F700)</f>
        <v>46.75</v>
      </c>
      <c r="I700" s="70" cm="1">
        <f t="array" ref="I700">INDEX($D$5:$D$1012, F700)</f>
        <v>27504360</v>
      </c>
    </row>
    <row r="701" spans="2:9" x14ac:dyDescent="0.2">
      <c r="B701" s="62">
        <v>41726</v>
      </c>
      <c r="C701" s="72">
        <v>40.299999999999997</v>
      </c>
      <c r="D701" s="71">
        <v>43414400</v>
      </c>
      <c r="E701" s="66" t="s">
        <v>81</v>
      </c>
      <c r="F701" s="16">
        <f t="shared" si="16"/>
        <v>312</v>
      </c>
      <c r="G701" s="67" cm="1">
        <f t="array" ref="G701">INDEX($B$5:$B$1012, F701)</f>
        <v>42284</v>
      </c>
      <c r="H701" s="69" cm="1">
        <f t="array" ref="H701">INDEX($C$5:$C$1012, F701)</f>
        <v>46.8</v>
      </c>
      <c r="I701" s="70" cm="1">
        <f t="array" ref="I701">INDEX($D$5:$D$1012, F701)</f>
        <v>27695610</v>
      </c>
    </row>
    <row r="702" spans="2:9" x14ac:dyDescent="0.2">
      <c r="B702" s="62">
        <v>41725</v>
      </c>
      <c r="C702" s="72">
        <v>39.36</v>
      </c>
      <c r="D702" s="71">
        <v>35215570</v>
      </c>
      <c r="E702" s="66" t="s">
        <v>81</v>
      </c>
      <c r="F702" s="16">
        <f t="shared" si="16"/>
        <v>311</v>
      </c>
      <c r="G702" s="67" cm="1">
        <f t="array" ref="G702">INDEX($B$5:$B$1012, F702)</f>
        <v>42285</v>
      </c>
      <c r="H702" s="69" cm="1">
        <f t="array" ref="H702">INDEX($C$5:$C$1012, F702)</f>
        <v>47.45</v>
      </c>
      <c r="I702" s="70" cm="1">
        <f t="array" ref="I702">INDEX($D$5:$D$1012, F702)</f>
        <v>33733860</v>
      </c>
    </row>
    <row r="703" spans="2:9" x14ac:dyDescent="0.2">
      <c r="B703" s="62">
        <v>41724</v>
      </c>
      <c r="C703" s="72">
        <v>39.79</v>
      </c>
      <c r="D703" s="71">
        <v>41854930</v>
      </c>
      <c r="E703" s="66" t="s">
        <v>81</v>
      </c>
      <c r="F703" s="16">
        <f t="shared" si="16"/>
        <v>310</v>
      </c>
      <c r="G703" s="67" cm="1">
        <f t="array" ref="G703">INDEX($B$5:$B$1012, F703)</f>
        <v>42286</v>
      </c>
      <c r="H703" s="69" cm="1">
        <f t="array" ref="H703">INDEX($C$5:$C$1012, F703)</f>
        <v>47.11</v>
      </c>
      <c r="I703" s="70" cm="1">
        <f t="array" ref="I703">INDEX($D$5:$D$1012, F703)</f>
        <v>28581690</v>
      </c>
    </row>
    <row r="704" spans="2:9" x14ac:dyDescent="0.2">
      <c r="B704" s="62">
        <v>41723</v>
      </c>
      <c r="C704" s="72">
        <v>40.340000000000003</v>
      </c>
      <c r="D704" s="71">
        <v>43132190</v>
      </c>
      <c r="E704" s="66" t="s">
        <v>81</v>
      </c>
      <c r="F704" s="16">
        <f t="shared" si="16"/>
        <v>309</v>
      </c>
      <c r="G704" s="67" cm="1">
        <f t="array" ref="G704">INDEX($B$5:$B$1012, F704)</f>
        <v>42289</v>
      </c>
      <c r="H704" s="69" cm="1">
        <f t="array" ref="H704">INDEX($C$5:$C$1012, F704)</f>
        <v>47</v>
      </c>
      <c r="I704" s="70" cm="1">
        <f t="array" ref="I704">INDEX($D$5:$D$1012, F704)</f>
        <v>19756420</v>
      </c>
    </row>
    <row r="705" spans="2:9" x14ac:dyDescent="0.2">
      <c r="B705" s="62">
        <v>41722</v>
      </c>
      <c r="C705" s="72">
        <v>40.5</v>
      </c>
      <c r="D705" s="71">
        <v>46072130</v>
      </c>
      <c r="E705" s="66" t="s">
        <v>81</v>
      </c>
      <c r="F705" s="16">
        <f t="shared" si="16"/>
        <v>308</v>
      </c>
      <c r="G705" s="67" cm="1">
        <f t="array" ref="G705">INDEX($B$5:$B$1012, F705)</f>
        <v>42290</v>
      </c>
      <c r="H705" s="69" cm="1">
        <f t="array" ref="H705">INDEX($C$5:$C$1012, F705)</f>
        <v>46.89</v>
      </c>
      <c r="I705" s="70" cm="1">
        <f t="array" ref="I705">INDEX($D$5:$D$1012, F705)</f>
        <v>19985330</v>
      </c>
    </row>
    <row r="706" spans="2:9" x14ac:dyDescent="0.2">
      <c r="B706" s="62">
        <v>41719</v>
      </c>
      <c r="C706" s="72">
        <v>40.159999999999997</v>
      </c>
      <c r="D706" s="71">
        <v>80709490</v>
      </c>
      <c r="E706" s="66" t="s">
        <v>81</v>
      </c>
      <c r="F706" s="16">
        <f t="shared" si="16"/>
        <v>307</v>
      </c>
      <c r="G706" s="67" cm="1">
        <f t="array" ref="G706">INDEX($B$5:$B$1012, F706)</f>
        <v>42291</v>
      </c>
      <c r="H706" s="69" cm="1">
        <f t="array" ref="H706">INDEX($C$5:$C$1012, F706)</f>
        <v>46.68</v>
      </c>
      <c r="I706" s="70" cm="1">
        <f t="array" ref="I706">INDEX($D$5:$D$1012, F706)</f>
        <v>24693460</v>
      </c>
    </row>
    <row r="707" spans="2:9" x14ac:dyDescent="0.2">
      <c r="B707" s="62">
        <v>41718</v>
      </c>
      <c r="C707" s="72">
        <v>40.33</v>
      </c>
      <c r="D707" s="71">
        <v>59240160</v>
      </c>
      <c r="E707" s="66" t="s">
        <v>81</v>
      </c>
      <c r="F707" s="16">
        <f t="shared" si="16"/>
        <v>306</v>
      </c>
      <c r="G707" s="67" cm="1">
        <f t="array" ref="G707">INDEX($B$5:$B$1012, F707)</f>
        <v>42292</v>
      </c>
      <c r="H707" s="69" cm="1">
        <f t="array" ref="H707">INDEX($C$5:$C$1012, F707)</f>
        <v>47.01</v>
      </c>
      <c r="I707" s="70" cm="1">
        <f t="array" ref="I707">INDEX($D$5:$D$1012, F707)</f>
        <v>27155510</v>
      </c>
    </row>
    <row r="708" spans="2:9" x14ac:dyDescent="0.2">
      <c r="B708" s="62">
        <v>41717</v>
      </c>
      <c r="C708" s="72">
        <v>39.270000000000003</v>
      </c>
      <c r="D708" s="71">
        <v>35140580</v>
      </c>
      <c r="E708" s="66" t="s">
        <v>81</v>
      </c>
      <c r="F708" s="16">
        <f t="shared" si="16"/>
        <v>305</v>
      </c>
      <c r="G708" s="67" cm="1">
        <f t="array" ref="G708">INDEX($B$5:$B$1012, F708)</f>
        <v>42293</v>
      </c>
      <c r="H708" s="69" cm="1">
        <f t="array" ref="H708">INDEX($C$5:$C$1012, F708)</f>
        <v>47.51</v>
      </c>
      <c r="I708" s="70" cm="1">
        <f t="array" ref="I708">INDEX($D$5:$D$1012, F708)</f>
        <v>25845550</v>
      </c>
    </row>
    <row r="709" spans="2:9" x14ac:dyDescent="0.2">
      <c r="B709" s="62">
        <v>41716</v>
      </c>
      <c r="C709" s="72">
        <v>39.549999999999997</v>
      </c>
      <c r="D709" s="71">
        <v>63965060</v>
      </c>
      <c r="E709" s="66" t="s">
        <v>81</v>
      </c>
      <c r="F709" s="16">
        <f t="shared" si="16"/>
        <v>304</v>
      </c>
      <c r="G709" s="67" cm="1">
        <f t="array" ref="G709">INDEX($B$5:$B$1012, F709)</f>
        <v>42296</v>
      </c>
      <c r="H709" s="69" cm="1">
        <f t="array" ref="H709">INDEX($C$5:$C$1012, F709)</f>
        <v>47.62</v>
      </c>
      <c r="I709" s="70" cm="1">
        <f t="array" ref="I709">INDEX($D$5:$D$1012, F709)</f>
        <v>29357660</v>
      </c>
    </row>
    <row r="710" spans="2:9" x14ac:dyDescent="0.2">
      <c r="B710" s="62">
        <v>41715</v>
      </c>
      <c r="C710" s="72">
        <v>38.049999999999997</v>
      </c>
      <c r="D710" s="71">
        <v>20386500</v>
      </c>
      <c r="E710" s="66" t="s">
        <v>81</v>
      </c>
      <c r="F710" s="16">
        <f t="shared" ref="F710:F773" si="17">COUNT(B710:B1717)</f>
        <v>303</v>
      </c>
      <c r="G710" s="67" cm="1">
        <f t="array" ref="G710">INDEX($B$5:$B$1012, F710)</f>
        <v>42297</v>
      </c>
      <c r="H710" s="69" cm="1">
        <f t="array" ref="H710">INDEX($C$5:$C$1012, F710)</f>
        <v>47.77</v>
      </c>
      <c r="I710" s="70" cm="1">
        <f t="array" ref="I710">INDEX($D$5:$D$1012, F710)</f>
        <v>30794100</v>
      </c>
    </row>
    <row r="711" spans="2:9" x14ac:dyDescent="0.2">
      <c r="B711" s="62">
        <v>41712</v>
      </c>
      <c r="C711" s="72">
        <v>37.700000000000003</v>
      </c>
      <c r="D711" s="71">
        <v>27184840</v>
      </c>
      <c r="E711" s="66" t="s">
        <v>81</v>
      </c>
      <c r="F711" s="16">
        <f t="shared" si="17"/>
        <v>302</v>
      </c>
      <c r="G711" s="67" cm="1">
        <f t="array" ref="G711">INDEX($B$5:$B$1012, F711)</f>
        <v>42298</v>
      </c>
      <c r="H711" s="69" cm="1">
        <f t="array" ref="H711">INDEX($C$5:$C$1012, F711)</f>
        <v>47.2</v>
      </c>
      <c r="I711" s="70" cm="1">
        <f t="array" ref="I711">INDEX($D$5:$D$1012, F711)</f>
        <v>25222760</v>
      </c>
    </row>
    <row r="712" spans="2:9" x14ac:dyDescent="0.2">
      <c r="B712" s="62">
        <v>41711</v>
      </c>
      <c r="C712" s="72">
        <v>37.89</v>
      </c>
      <c r="D712" s="71">
        <v>32167550</v>
      </c>
      <c r="E712" s="66" t="s">
        <v>81</v>
      </c>
      <c r="F712" s="16">
        <f t="shared" si="17"/>
        <v>301</v>
      </c>
      <c r="G712" s="67" cm="1">
        <f t="array" ref="G712">INDEX($B$5:$B$1012, F712)</f>
        <v>42299</v>
      </c>
      <c r="H712" s="69" cm="1">
        <f t="array" ref="H712">INDEX($C$5:$C$1012, F712)</f>
        <v>48.03</v>
      </c>
      <c r="I712" s="70" cm="1">
        <f t="array" ref="I712">INDEX($D$5:$D$1012, F712)</f>
        <v>55888280</v>
      </c>
    </row>
    <row r="713" spans="2:9" x14ac:dyDescent="0.2">
      <c r="B713" s="62">
        <v>41710</v>
      </c>
      <c r="C713" s="72">
        <v>38.270000000000003</v>
      </c>
      <c r="D713" s="71">
        <v>30494150</v>
      </c>
      <c r="E713" s="66" t="s">
        <v>81</v>
      </c>
      <c r="F713" s="16">
        <f t="shared" si="17"/>
        <v>300</v>
      </c>
      <c r="G713" s="67" cm="1">
        <f t="array" ref="G713">INDEX($B$5:$B$1012, F713)</f>
        <v>42300</v>
      </c>
      <c r="H713" s="69" cm="1">
        <f t="array" ref="H713">INDEX($C$5:$C$1012, F713)</f>
        <v>52.87</v>
      </c>
      <c r="I713" s="70" cm="1">
        <f t="array" ref="I713">INDEX($D$5:$D$1012, F713)</f>
        <v>135152900</v>
      </c>
    </row>
    <row r="714" spans="2:9" x14ac:dyDescent="0.2">
      <c r="B714" s="62">
        <v>41709</v>
      </c>
      <c r="C714" s="72">
        <v>38.020000000000003</v>
      </c>
      <c r="D714" s="71">
        <v>25216370</v>
      </c>
      <c r="E714" s="66" t="s">
        <v>81</v>
      </c>
      <c r="F714" s="16">
        <f t="shared" si="17"/>
        <v>299</v>
      </c>
      <c r="G714" s="67" cm="1">
        <f t="array" ref="G714">INDEX($B$5:$B$1012, F714)</f>
        <v>42303</v>
      </c>
      <c r="H714" s="69" cm="1">
        <f t="array" ref="H714">INDEX($C$5:$C$1012, F714)</f>
        <v>54.25</v>
      </c>
      <c r="I714" s="70" cm="1">
        <f t="array" ref="I714">INDEX($D$5:$D$1012, F714)</f>
        <v>64541790</v>
      </c>
    </row>
    <row r="715" spans="2:9" x14ac:dyDescent="0.2">
      <c r="B715" s="62">
        <v>41708</v>
      </c>
      <c r="C715" s="72">
        <v>37.82</v>
      </c>
      <c r="D715" s="71">
        <v>19006500</v>
      </c>
      <c r="E715" s="66" t="s">
        <v>81</v>
      </c>
      <c r="F715" s="16">
        <f t="shared" si="17"/>
        <v>298</v>
      </c>
      <c r="G715" s="67" cm="1">
        <f t="array" ref="G715">INDEX($B$5:$B$1012, F715)</f>
        <v>42304</v>
      </c>
      <c r="H715" s="69" cm="1">
        <f t="array" ref="H715">INDEX($C$5:$C$1012, F715)</f>
        <v>53.69</v>
      </c>
      <c r="I715" s="70" cm="1">
        <f t="array" ref="I715">INDEX($D$5:$D$1012, F715)</f>
        <v>50959580</v>
      </c>
    </row>
    <row r="716" spans="2:9" x14ac:dyDescent="0.2">
      <c r="B716" s="62">
        <v>41705</v>
      </c>
      <c r="C716" s="72">
        <v>37.9</v>
      </c>
      <c r="D716" s="71">
        <v>26590540</v>
      </c>
      <c r="E716" s="66" t="s">
        <v>81</v>
      </c>
      <c r="F716" s="16">
        <f t="shared" si="17"/>
        <v>297</v>
      </c>
      <c r="G716" s="67" cm="1">
        <f t="array" ref="G716">INDEX($B$5:$B$1012, F716)</f>
        <v>42305</v>
      </c>
      <c r="H716" s="69" cm="1">
        <f t="array" ref="H716">INDEX($C$5:$C$1012, F716)</f>
        <v>53.98</v>
      </c>
      <c r="I716" s="70" cm="1">
        <f t="array" ref="I716">INDEX($D$5:$D$1012, F716)</f>
        <v>46948360</v>
      </c>
    </row>
    <row r="717" spans="2:9" x14ac:dyDescent="0.2">
      <c r="B717" s="62">
        <v>41704</v>
      </c>
      <c r="C717" s="72">
        <v>38.15</v>
      </c>
      <c r="D717" s="71">
        <v>23582130</v>
      </c>
      <c r="E717" s="66" t="s">
        <v>81</v>
      </c>
      <c r="F717" s="16">
        <f t="shared" si="17"/>
        <v>296</v>
      </c>
      <c r="G717" s="67" cm="1">
        <f t="array" ref="G717">INDEX($B$5:$B$1012, F717)</f>
        <v>42306</v>
      </c>
      <c r="H717" s="69" cm="1">
        <f t="array" ref="H717">INDEX($C$5:$C$1012, F717)</f>
        <v>53.36</v>
      </c>
      <c r="I717" s="70" cm="1">
        <f t="array" ref="I717">INDEX($D$5:$D$1012, F717)</f>
        <v>30109050</v>
      </c>
    </row>
    <row r="718" spans="2:9" x14ac:dyDescent="0.2">
      <c r="B718" s="62">
        <v>41703</v>
      </c>
      <c r="C718" s="72">
        <v>38.11</v>
      </c>
      <c r="D718" s="71">
        <v>20519850</v>
      </c>
      <c r="E718" s="66" t="s">
        <v>81</v>
      </c>
      <c r="F718" s="16">
        <f t="shared" si="17"/>
        <v>295</v>
      </c>
      <c r="G718" s="67" cm="1">
        <f t="array" ref="G718">INDEX($B$5:$B$1012, F718)</f>
        <v>42307</v>
      </c>
      <c r="H718" s="69" cm="1">
        <f t="array" ref="H718">INDEX($C$5:$C$1012, F718)</f>
        <v>52.64</v>
      </c>
      <c r="I718" s="70" cm="1">
        <f t="array" ref="I718">INDEX($D$5:$D$1012, F718)</f>
        <v>46602700</v>
      </c>
    </row>
    <row r="719" spans="2:9" x14ac:dyDescent="0.2">
      <c r="B719" s="62">
        <v>41702</v>
      </c>
      <c r="C719" s="72">
        <v>38.409999999999997</v>
      </c>
      <c r="D719" s="71">
        <v>26802300</v>
      </c>
      <c r="E719" s="66" t="s">
        <v>81</v>
      </c>
      <c r="F719" s="16">
        <f t="shared" si="17"/>
        <v>294</v>
      </c>
      <c r="G719" s="67" cm="1">
        <f t="array" ref="G719">INDEX($B$5:$B$1012, F719)</f>
        <v>42310</v>
      </c>
      <c r="H719" s="69" cm="1">
        <f t="array" ref="H719">INDEX($C$5:$C$1012, F719)</f>
        <v>53.24</v>
      </c>
      <c r="I719" s="70" cm="1">
        <f t="array" ref="I719">INDEX($D$5:$D$1012, F719)</f>
        <v>30229020</v>
      </c>
    </row>
    <row r="720" spans="2:9" x14ac:dyDescent="0.2">
      <c r="B720" s="62">
        <v>41701</v>
      </c>
      <c r="C720" s="72">
        <v>37.78</v>
      </c>
      <c r="D720" s="71">
        <v>29716900</v>
      </c>
      <c r="E720" s="66" t="s">
        <v>81</v>
      </c>
      <c r="F720" s="16">
        <f t="shared" si="17"/>
        <v>293</v>
      </c>
      <c r="G720" s="67" cm="1">
        <f t="array" ref="G720">INDEX($B$5:$B$1012, F720)</f>
        <v>42311</v>
      </c>
      <c r="H720" s="69" cm="1">
        <f t="array" ref="H720">INDEX($C$5:$C$1012, F720)</f>
        <v>54.15</v>
      </c>
      <c r="I720" s="70" cm="1">
        <f t="array" ref="I720">INDEX($D$5:$D$1012, F720)</f>
        <v>36584100</v>
      </c>
    </row>
    <row r="721" spans="2:9" x14ac:dyDescent="0.2">
      <c r="B721" s="62">
        <v>41698</v>
      </c>
      <c r="C721" s="72">
        <v>38.31</v>
      </c>
      <c r="D721" s="71">
        <v>41213850</v>
      </c>
      <c r="E721" s="66" t="s">
        <v>81</v>
      </c>
      <c r="F721" s="16">
        <f t="shared" si="17"/>
        <v>292</v>
      </c>
      <c r="G721" s="67" cm="1">
        <f t="array" ref="G721">INDEX($B$5:$B$1012, F721)</f>
        <v>42312</v>
      </c>
      <c r="H721" s="69" cm="1">
        <f t="array" ref="H721">INDEX($C$5:$C$1012, F721)</f>
        <v>54.4</v>
      </c>
      <c r="I721" s="70" cm="1">
        <f t="array" ref="I721">INDEX($D$5:$D$1012, F721)</f>
        <v>37084780</v>
      </c>
    </row>
    <row r="722" spans="2:9" x14ac:dyDescent="0.2">
      <c r="B722" s="62">
        <v>41697</v>
      </c>
      <c r="C722" s="72">
        <v>37.86</v>
      </c>
      <c r="D722" s="71">
        <v>33898430</v>
      </c>
      <c r="E722" s="66" t="s">
        <v>81</v>
      </c>
      <c r="F722" s="16">
        <f t="shared" si="17"/>
        <v>291</v>
      </c>
      <c r="G722" s="67" cm="1">
        <f t="array" ref="G722">INDEX($B$5:$B$1012, F722)</f>
        <v>42313</v>
      </c>
      <c r="H722" s="69" cm="1">
        <f t="array" ref="H722">INDEX($C$5:$C$1012, F722)</f>
        <v>54.38</v>
      </c>
      <c r="I722" s="70" cm="1">
        <f t="array" ref="I722">INDEX($D$5:$D$1012, F722)</f>
        <v>31466080</v>
      </c>
    </row>
    <row r="723" spans="2:9" x14ac:dyDescent="0.2">
      <c r="B723" s="62">
        <v>41696</v>
      </c>
      <c r="C723" s="72">
        <v>37.47</v>
      </c>
      <c r="D723" s="71">
        <v>41036630</v>
      </c>
      <c r="E723" s="66" t="s">
        <v>81</v>
      </c>
      <c r="F723" s="16">
        <f t="shared" si="17"/>
        <v>290</v>
      </c>
      <c r="G723" s="67" cm="1">
        <f t="array" ref="G723">INDEX($B$5:$B$1012, F723)</f>
        <v>42314</v>
      </c>
      <c r="H723" s="69" cm="1">
        <f t="array" ref="H723">INDEX($C$5:$C$1012, F723)</f>
        <v>54.92</v>
      </c>
      <c r="I723" s="70" cm="1">
        <f t="array" ref="I723">INDEX($D$5:$D$1012, F723)</f>
        <v>32835100</v>
      </c>
    </row>
    <row r="724" spans="2:9" x14ac:dyDescent="0.2">
      <c r="B724" s="62">
        <v>41695</v>
      </c>
      <c r="C724" s="72">
        <v>37.54</v>
      </c>
      <c r="D724" s="71">
        <v>30733490</v>
      </c>
      <c r="E724" s="66" t="s">
        <v>81</v>
      </c>
      <c r="F724" s="16">
        <f t="shared" si="17"/>
        <v>289</v>
      </c>
      <c r="G724" s="67" cm="1">
        <f t="array" ref="G724">INDEX($B$5:$B$1012, F724)</f>
        <v>42317</v>
      </c>
      <c r="H724" s="69" cm="1">
        <f t="array" ref="H724">INDEX($C$5:$C$1012, F724)</f>
        <v>54.16</v>
      </c>
      <c r="I724" s="70" cm="1">
        <f t="array" ref="I724">INDEX($D$5:$D$1012, F724)</f>
        <v>32498870</v>
      </c>
    </row>
    <row r="725" spans="2:9" x14ac:dyDescent="0.2">
      <c r="B725" s="62">
        <v>41694</v>
      </c>
      <c r="C725" s="72">
        <v>37.69</v>
      </c>
      <c r="D725" s="71">
        <v>31949300</v>
      </c>
      <c r="E725" s="66" t="s">
        <v>81</v>
      </c>
      <c r="F725" s="16">
        <f t="shared" si="17"/>
        <v>288</v>
      </c>
      <c r="G725" s="67" cm="1">
        <f t="array" ref="G725">INDEX($B$5:$B$1012, F725)</f>
        <v>42318</v>
      </c>
      <c r="H725" s="69" cm="1">
        <f t="array" ref="H725">INDEX($C$5:$C$1012, F725)</f>
        <v>53.51</v>
      </c>
      <c r="I725" s="70" cm="1">
        <f t="array" ref="I725">INDEX($D$5:$D$1012, F725)</f>
        <v>55268090</v>
      </c>
    </row>
    <row r="726" spans="2:9" x14ac:dyDescent="0.2">
      <c r="B726" s="62">
        <v>41691</v>
      </c>
      <c r="C726" s="72">
        <v>37.979999999999997</v>
      </c>
      <c r="D726" s="71">
        <v>38020420</v>
      </c>
      <c r="E726" s="66" t="s">
        <v>81</v>
      </c>
      <c r="F726" s="16">
        <f t="shared" si="17"/>
        <v>287</v>
      </c>
      <c r="G726" s="67" cm="1">
        <f t="array" ref="G726">INDEX($B$5:$B$1012, F726)</f>
        <v>42319</v>
      </c>
      <c r="H726" s="69" cm="1">
        <f t="array" ref="H726">INDEX($C$5:$C$1012, F726)</f>
        <v>53.65</v>
      </c>
      <c r="I726" s="70" cm="1">
        <f t="array" ref="I726">INDEX($D$5:$D$1012, F726)</f>
        <v>34010630</v>
      </c>
    </row>
    <row r="727" spans="2:9" x14ac:dyDescent="0.2">
      <c r="B727" s="62">
        <v>41690</v>
      </c>
      <c r="C727" s="72">
        <v>37.75</v>
      </c>
      <c r="D727" s="71">
        <v>27526100</v>
      </c>
      <c r="E727" s="66" t="s">
        <v>81</v>
      </c>
      <c r="F727" s="16">
        <f t="shared" si="17"/>
        <v>286</v>
      </c>
      <c r="G727" s="67" cm="1">
        <f t="array" ref="G727">INDEX($B$5:$B$1012, F727)</f>
        <v>42320</v>
      </c>
      <c r="H727" s="69" cm="1">
        <f t="array" ref="H727">INDEX($C$5:$C$1012, F727)</f>
        <v>53.32</v>
      </c>
      <c r="I727" s="70" cm="1">
        <f t="array" ref="I727">INDEX($D$5:$D$1012, F727)</f>
        <v>35304350</v>
      </c>
    </row>
    <row r="728" spans="2:9" x14ac:dyDescent="0.2">
      <c r="B728" s="62">
        <v>41689</v>
      </c>
      <c r="C728" s="72">
        <v>37.51</v>
      </c>
      <c r="D728" s="71">
        <v>29750390</v>
      </c>
      <c r="E728" s="66" t="s">
        <v>81</v>
      </c>
      <c r="F728" s="16">
        <f t="shared" si="17"/>
        <v>285</v>
      </c>
      <c r="G728" s="67" cm="1">
        <f t="array" ref="G728">INDEX($B$5:$B$1012, F728)</f>
        <v>42321</v>
      </c>
      <c r="H728" s="69" cm="1">
        <f t="array" ref="H728">INDEX($C$5:$C$1012, F728)</f>
        <v>52.84</v>
      </c>
      <c r="I728" s="70" cm="1">
        <f t="array" ref="I728">INDEX($D$5:$D$1012, F728)</f>
        <v>36796370</v>
      </c>
    </row>
    <row r="729" spans="2:9" x14ac:dyDescent="0.2">
      <c r="B729" s="62">
        <v>41688</v>
      </c>
      <c r="C729" s="72">
        <v>37.42</v>
      </c>
      <c r="D729" s="71">
        <v>32833250</v>
      </c>
      <c r="E729" s="66" t="s">
        <v>81</v>
      </c>
      <c r="F729" s="16">
        <f t="shared" si="17"/>
        <v>284</v>
      </c>
      <c r="G729" s="67" cm="1">
        <f t="array" ref="G729">INDEX($B$5:$B$1012, F729)</f>
        <v>42324</v>
      </c>
      <c r="H729" s="69" cm="1">
        <f t="array" ref="H729">INDEX($C$5:$C$1012, F729)</f>
        <v>53.765000000000001</v>
      </c>
      <c r="I729" s="70" cm="1">
        <f t="array" ref="I729">INDEX($D$5:$D$1012, F729)</f>
        <v>31944340</v>
      </c>
    </row>
    <row r="730" spans="2:9" x14ac:dyDescent="0.2">
      <c r="B730" s="62">
        <v>41684</v>
      </c>
      <c r="C730" s="72">
        <v>37.619999999999997</v>
      </c>
      <c r="D730" s="71">
        <v>42985490</v>
      </c>
      <c r="E730" s="66" t="s">
        <v>81</v>
      </c>
      <c r="F730" s="16">
        <f t="shared" si="17"/>
        <v>283</v>
      </c>
      <c r="G730" s="67" cm="1">
        <f t="array" ref="G730">INDEX($B$5:$B$1012, F730)</f>
        <v>42325</v>
      </c>
      <c r="H730" s="69" cm="1">
        <f t="array" ref="H730">INDEX($C$5:$C$1012, F730)</f>
        <v>52.97</v>
      </c>
      <c r="I730" s="70" cm="1">
        <f t="array" ref="I730">INDEX($D$5:$D$1012, F730)</f>
        <v>31546750</v>
      </c>
    </row>
    <row r="731" spans="2:9" x14ac:dyDescent="0.2">
      <c r="B731" s="62">
        <v>41683</v>
      </c>
      <c r="C731" s="72">
        <v>37.61</v>
      </c>
      <c r="D731" s="71">
        <v>37635520</v>
      </c>
      <c r="E731" s="66" t="s">
        <v>81</v>
      </c>
      <c r="F731" s="16">
        <f t="shared" si="17"/>
        <v>282</v>
      </c>
      <c r="G731" s="67" cm="1">
        <f t="array" ref="G731">INDEX($B$5:$B$1012, F731)</f>
        <v>42326</v>
      </c>
      <c r="H731" s="69" cm="1">
        <f t="array" ref="H731">INDEX($C$5:$C$1012, F731)</f>
        <v>53.85</v>
      </c>
      <c r="I731" s="70" cm="1">
        <f t="array" ref="I731">INDEX($D$5:$D$1012, F731)</f>
        <v>29125950</v>
      </c>
    </row>
    <row r="732" spans="2:9" x14ac:dyDescent="0.2">
      <c r="B732" s="62">
        <v>41682</v>
      </c>
      <c r="C732" s="72">
        <v>37.47</v>
      </c>
      <c r="D732" s="71">
        <v>27051620</v>
      </c>
      <c r="E732" s="66" t="s">
        <v>81</v>
      </c>
      <c r="F732" s="16">
        <f t="shared" si="17"/>
        <v>281</v>
      </c>
      <c r="G732" s="67" cm="1">
        <f t="array" ref="G732">INDEX($B$5:$B$1012, F732)</f>
        <v>42327</v>
      </c>
      <c r="H732" s="69" cm="1">
        <f t="array" ref="H732">INDEX($C$5:$C$1012, F732)</f>
        <v>53.94</v>
      </c>
      <c r="I732" s="70" cm="1">
        <f t="array" ref="I732">INDEX($D$5:$D$1012, F732)</f>
        <v>28141820</v>
      </c>
    </row>
    <row r="733" spans="2:9" x14ac:dyDescent="0.2">
      <c r="B733" s="62">
        <v>41681</v>
      </c>
      <c r="C733" s="72">
        <v>37.174999999999997</v>
      </c>
      <c r="D733" s="71">
        <v>32133250</v>
      </c>
      <c r="E733" s="66" t="s">
        <v>81</v>
      </c>
      <c r="F733" s="16">
        <f t="shared" si="17"/>
        <v>280</v>
      </c>
      <c r="G733" s="67" cm="1">
        <f t="array" ref="G733">INDEX($B$5:$B$1012, F733)</f>
        <v>42328</v>
      </c>
      <c r="H733" s="69" cm="1">
        <f t="array" ref="H733">INDEX($C$5:$C$1012, F733)</f>
        <v>54.19</v>
      </c>
      <c r="I733" s="70" cm="1">
        <f t="array" ref="I733">INDEX($D$5:$D$1012, F733)</f>
        <v>37106670</v>
      </c>
    </row>
    <row r="734" spans="2:9" x14ac:dyDescent="0.2">
      <c r="B734" s="62">
        <v>41680</v>
      </c>
      <c r="C734" s="72">
        <v>36.799999999999997</v>
      </c>
      <c r="D734" s="71">
        <v>26735870</v>
      </c>
      <c r="E734" s="66" t="s">
        <v>81</v>
      </c>
      <c r="F734" s="16">
        <f t="shared" si="17"/>
        <v>279</v>
      </c>
      <c r="G734" s="67" cm="1">
        <f t="array" ref="G734">INDEX($B$5:$B$1012, F734)</f>
        <v>42331</v>
      </c>
      <c r="H734" s="69" cm="1">
        <f t="array" ref="H734">INDEX($C$5:$C$1012, F734)</f>
        <v>54.19</v>
      </c>
      <c r="I734" s="70" cm="1">
        <f t="array" ref="I734">INDEX($D$5:$D$1012, F734)</f>
        <v>28218110</v>
      </c>
    </row>
    <row r="735" spans="2:9" x14ac:dyDescent="0.2">
      <c r="B735" s="62">
        <v>41677</v>
      </c>
      <c r="C735" s="72">
        <v>36.56</v>
      </c>
      <c r="D735" s="71">
        <v>33307930</v>
      </c>
      <c r="E735" s="66" t="s">
        <v>81</v>
      </c>
      <c r="F735" s="16">
        <f t="shared" si="17"/>
        <v>278</v>
      </c>
      <c r="G735" s="67" cm="1">
        <f t="array" ref="G735">INDEX($B$5:$B$1012, F735)</f>
        <v>42332</v>
      </c>
      <c r="H735" s="69" cm="1">
        <f t="array" ref="H735">INDEX($C$5:$C$1012, F735)</f>
        <v>54.25</v>
      </c>
      <c r="I735" s="70" cm="1">
        <f t="array" ref="I735">INDEX($D$5:$D$1012, F735)</f>
        <v>24589530</v>
      </c>
    </row>
    <row r="736" spans="2:9" x14ac:dyDescent="0.2">
      <c r="B736" s="62">
        <v>41676</v>
      </c>
      <c r="C736" s="72">
        <v>36.18</v>
      </c>
      <c r="D736" s="71">
        <v>35356200</v>
      </c>
      <c r="E736" s="66" t="s">
        <v>81</v>
      </c>
      <c r="F736" s="16">
        <f t="shared" si="17"/>
        <v>277</v>
      </c>
      <c r="G736" s="67" cm="1">
        <f t="array" ref="G736">INDEX($B$5:$B$1012, F736)</f>
        <v>42333</v>
      </c>
      <c r="H736" s="69" cm="1">
        <f t="array" ref="H736">INDEX($C$5:$C$1012, F736)</f>
        <v>53.69</v>
      </c>
      <c r="I736" s="70" cm="1">
        <f t="array" ref="I736">INDEX($D$5:$D$1012, F736)</f>
        <v>20987820</v>
      </c>
    </row>
    <row r="737" spans="2:9" x14ac:dyDescent="0.2">
      <c r="B737" s="62">
        <v>41675</v>
      </c>
      <c r="C737" s="72">
        <v>35.82</v>
      </c>
      <c r="D737" s="71">
        <v>55813500</v>
      </c>
      <c r="E737" s="66" t="s">
        <v>81</v>
      </c>
      <c r="F737" s="16">
        <f t="shared" si="17"/>
        <v>276</v>
      </c>
      <c r="G737" s="67" cm="1">
        <f t="array" ref="G737">INDEX($B$5:$B$1012, F737)</f>
        <v>42335</v>
      </c>
      <c r="H737" s="69" cm="1">
        <f t="array" ref="H737">INDEX($C$5:$C$1012, F737)</f>
        <v>53.93</v>
      </c>
      <c r="I737" s="70" cm="1">
        <f t="array" ref="I737">INDEX($D$5:$D$1012, F737)</f>
        <v>9009132</v>
      </c>
    </row>
    <row r="738" spans="2:9" x14ac:dyDescent="0.2">
      <c r="B738" s="62">
        <v>41674</v>
      </c>
      <c r="C738" s="72">
        <v>36.35</v>
      </c>
      <c r="D738" s="71">
        <v>54696680</v>
      </c>
      <c r="E738" s="66" t="s">
        <v>81</v>
      </c>
      <c r="F738" s="16">
        <f t="shared" si="17"/>
        <v>275</v>
      </c>
      <c r="G738" s="67" cm="1">
        <f t="array" ref="G738">INDEX($B$5:$B$1012, F738)</f>
        <v>42338</v>
      </c>
      <c r="H738" s="69" cm="1">
        <f t="array" ref="H738">INDEX($C$5:$C$1012, F738)</f>
        <v>54.35</v>
      </c>
      <c r="I738" s="70" cm="1">
        <f t="array" ref="I738">INDEX($D$5:$D$1012, F738)</f>
        <v>54403560</v>
      </c>
    </row>
    <row r="739" spans="2:9" x14ac:dyDescent="0.2">
      <c r="B739" s="62">
        <v>41673</v>
      </c>
      <c r="C739" s="72">
        <v>36.479999999999997</v>
      </c>
      <c r="D739" s="71">
        <v>64062570</v>
      </c>
      <c r="E739" s="66" t="s">
        <v>81</v>
      </c>
      <c r="F739" s="16">
        <f t="shared" si="17"/>
        <v>274</v>
      </c>
      <c r="G739" s="67" cm="1">
        <f t="array" ref="G739">INDEX($B$5:$B$1012, F739)</f>
        <v>42339</v>
      </c>
      <c r="H739" s="69" cm="1">
        <f t="array" ref="H739">INDEX($C$5:$C$1012, F739)</f>
        <v>55.22</v>
      </c>
      <c r="I739" s="70" cm="1">
        <f t="array" ref="I739">INDEX($D$5:$D$1012, F739)</f>
        <v>39912320</v>
      </c>
    </row>
    <row r="740" spans="2:9" x14ac:dyDescent="0.2">
      <c r="B740" s="62">
        <v>41670</v>
      </c>
      <c r="C740" s="72">
        <v>37.840000000000003</v>
      </c>
      <c r="D740" s="71">
        <v>93158190</v>
      </c>
      <c r="E740" s="66" t="s">
        <v>81</v>
      </c>
      <c r="F740" s="16">
        <f t="shared" si="17"/>
        <v>273</v>
      </c>
      <c r="G740" s="67" cm="1">
        <f t="array" ref="G740">INDEX($B$5:$B$1012, F740)</f>
        <v>42340</v>
      </c>
      <c r="H740" s="69" cm="1">
        <f t="array" ref="H740">INDEX($C$5:$C$1012, F740)</f>
        <v>55.21</v>
      </c>
      <c r="I740" s="70" cm="1">
        <f t="array" ref="I740">INDEX($D$5:$D$1012, F740)</f>
        <v>47249030</v>
      </c>
    </row>
    <row r="741" spans="2:9" x14ac:dyDescent="0.2">
      <c r="B741" s="62">
        <v>41669</v>
      </c>
      <c r="C741" s="72">
        <v>36.86</v>
      </c>
      <c r="D741" s="71">
        <v>34935080</v>
      </c>
      <c r="E741" s="66" t="s">
        <v>81</v>
      </c>
      <c r="F741" s="16">
        <f t="shared" si="17"/>
        <v>272</v>
      </c>
      <c r="G741" s="67" cm="1">
        <f t="array" ref="G741">INDEX($B$5:$B$1012, F741)</f>
        <v>42341</v>
      </c>
      <c r="H741" s="69" cm="1">
        <f t="array" ref="H741">INDEX($C$5:$C$1012, F741)</f>
        <v>54.2</v>
      </c>
      <c r="I741" s="70" cm="1">
        <f t="array" ref="I741">INDEX($D$5:$D$1012, F741)</f>
        <v>38625370</v>
      </c>
    </row>
    <row r="742" spans="2:9" x14ac:dyDescent="0.2">
      <c r="B742" s="62">
        <v>41668</v>
      </c>
      <c r="C742" s="72">
        <v>36.659999999999997</v>
      </c>
      <c r="D742" s="71">
        <v>52745900</v>
      </c>
      <c r="E742" s="66" t="s">
        <v>81</v>
      </c>
      <c r="F742" s="16">
        <f t="shared" si="17"/>
        <v>271</v>
      </c>
      <c r="G742" s="67" cm="1">
        <f t="array" ref="G742">INDEX($B$5:$B$1012, F742)</f>
        <v>42342</v>
      </c>
      <c r="H742" s="69" cm="1">
        <f t="array" ref="H742">INDEX($C$5:$C$1012, F742)</f>
        <v>55.91</v>
      </c>
      <c r="I742" s="70" cm="1">
        <f t="array" ref="I742">INDEX($D$5:$D$1012, F742)</f>
        <v>43954660</v>
      </c>
    </row>
    <row r="743" spans="2:9" x14ac:dyDescent="0.2">
      <c r="B743" s="62">
        <v>41667</v>
      </c>
      <c r="C743" s="72">
        <v>36.270000000000003</v>
      </c>
      <c r="D743" s="71">
        <v>36199740</v>
      </c>
      <c r="E743" s="66" t="s">
        <v>81</v>
      </c>
      <c r="F743" s="16">
        <f t="shared" si="17"/>
        <v>270</v>
      </c>
      <c r="G743" s="67" cm="1">
        <f t="array" ref="G743">INDEX($B$5:$B$1012, F743)</f>
        <v>42345</v>
      </c>
      <c r="H743" s="69" cm="1">
        <f t="array" ref="H743">INDEX($C$5:$C$1012, F743)</f>
        <v>55.81</v>
      </c>
      <c r="I743" s="70" cm="1">
        <f t="array" ref="I743">INDEX($D$5:$D$1012, F743)</f>
        <v>30704980</v>
      </c>
    </row>
    <row r="744" spans="2:9" x14ac:dyDescent="0.2">
      <c r="B744" s="62">
        <v>41666</v>
      </c>
      <c r="C744" s="72">
        <v>36.03</v>
      </c>
      <c r="D744" s="71">
        <v>44414390</v>
      </c>
      <c r="E744" s="66" t="s">
        <v>81</v>
      </c>
      <c r="F744" s="16">
        <f t="shared" si="17"/>
        <v>269</v>
      </c>
      <c r="G744" s="67" cm="1">
        <f t="array" ref="G744">INDEX($B$5:$B$1012, F744)</f>
        <v>42346</v>
      </c>
      <c r="H744" s="69" cm="1">
        <f t="array" ref="H744">INDEX($C$5:$C$1012, F744)</f>
        <v>55.79</v>
      </c>
      <c r="I744" s="70" cm="1">
        <f t="array" ref="I744">INDEX($D$5:$D$1012, F744)</f>
        <v>32752860</v>
      </c>
    </row>
    <row r="745" spans="2:9" x14ac:dyDescent="0.2">
      <c r="B745" s="62">
        <v>41663</v>
      </c>
      <c r="C745" s="72">
        <v>36.805</v>
      </c>
      <c r="D745" s="71">
        <v>77038730</v>
      </c>
      <c r="E745" s="66" t="s">
        <v>81</v>
      </c>
      <c r="F745" s="16">
        <f t="shared" si="17"/>
        <v>268</v>
      </c>
      <c r="G745" s="67" cm="1">
        <f t="array" ref="G745">INDEX($B$5:$B$1012, F745)</f>
        <v>42347</v>
      </c>
      <c r="H745" s="69" cm="1">
        <f t="array" ref="H745">INDEX($C$5:$C$1012, F745)</f>
        <v>54.98</v>
      </c>
      <c r="I745" s="70" cm="1">
        <f t="array" ref="I745">INDEX($D$5:$D$1012, F745)</f>
        <v>36359780</v>
      </c>
    </row>
    <row r="746" spans="2:9" x14ac:dyDescent="0.2">
      <c r="B746" s="62">
        <v>41662</v>
      </c>
      <c r="C746" s="72">
        <v>36.055</v>
      </c>
      <c r="D746" s="71">
        <v>43859820</v>
      </c>
      <c r="E746" s="66" t="s">
        <v>81</v>
      </c>
      <c r="F746" s="16">
        <f t="shared" si="17"/>
        <v>267</v>
      </c>
      <c r="G746" s="67" cm="1">
        <f t="array" ref="G746">INDEX($B$5:$B$1012, F746)</f>
        <v>42348</v>
      </c>
      <c r="H746" s="69" cm="1">
        <f t="array" ref="H746">INDEX($C$5:$C$1012, F746)</f>
        <v>55.27</v>
      </c>
      <c r="I746" s="70" cm="1">
        <f t="array" ref="I746">INDEX($D$5:$D$1012, F746)</f>
        <v>31771820</v>
      </c>
    </row>
    <row r="747" spans="2:9" x14ac:dyDescent="0.2">
      <c r="B747" s="62">
        <v>41661</v>
      </c>
      <c r="C747" s="72">
        <v>35.93</v>
      </c>
      <c r="D747" s="71">
        <v>21904030</v>
      </c>
      <c r="E747" s="66" t="s">
        <v>81</v>
      </c>
      <c r="F747" s="16">
        <f t="shared" si="17"/>
        <v>266</v>
      </c>
      <c r="G747" s="67" cm="1">
        <f t="array" ref="G747">INDEX($B$5:$B$1012, F747)</f>
        <v>42349</v>
      </c>
      <c r="H747" s="69" cm="1">
        <f t="array" ref="H747">INDEX($C$5:$C$1012, F747)</f>
        <v>54.06</v>
      </c>
      <c r="I747" s="70" cm="1">
        <f t="array" ref="I747">INDEX($D$5:$D$1012, F747)</f>
        <v>39535140</v>
      </c>
    </row>
    <row r="748" spans="2:9" x14ac:dyDescent="0.2">
      <c r="B748" s="62">
        <v>41660</v>
      </c>
      <c r="C748" s="72">
        <v>36.17</v>
      </c>
      <c r="D748" s="71">
        <v>31565080</v>
      </c>
      <c r="E748" s="66" t="s">
        <v>81</v>
      </c>
      <c r="F748" s="16">
        <f t="shared" si="17"/>
        <v>265</v>
      </c>
      <c r="G748" s="67" cm="1">
        <f t="array" ref="G748">INDEX($B$5:$B$1012, F748)</f>
        <v>42352</v>
      </c>
      <c r="H748" s="69" cm="1">
        <f t="array" ref="H748">INDEX($C$5:$C$1012, F748)</f>
        <v>55.14</v>
      </c>
      <c r="I748" s="70" cm="1">
        <f t="array" ref="I748">INDEX($D$5:$D$1012, F748)</f>
        <v>46963970</v>
      </c>
    </row>
    <row r="749" spans="2:9" x14ac:dyDescent="0.2">
      <c r="B749" s="62">
        <v>41656</v>
      </c>
      <c r="C749" s="72">
        <v>36.380000000000003</v>
      </c>
      <c r="D749" s="71">
        <v>46267460</v>
      </c>
      <c r="E749" s="66" t="s">
        <v>81</v>
      </c>
      <c r="F749" s="16">
        <f t="shared" si="17"/>
        <v>264</v>
      </c>
      <c r="G749" s="67" cm="1">
        <f t="array" ref="G749">INDEX($B$5:$B$1012, F749)</f>
        <v>42353</v>
      </c>
      <c r="H749" s="69" cm="1">
        <f t="array" ref="H749">INDEX($C$5:$C$1012, F749)</f>
        <v>55.2</v>
      </c>
      <c r="I749" s="70" cm="1">
        <f t="array" ref="I749">INDEX($D$5:$D$1012, F749)</f>
        <v>39678290</v>
      </c>
    </row>
    <row r="750" spans="2:9" x14ac:dyDescent="0.2">
      <c r="B750" s="62">
        <v>41655</v>
      </c>
      <c r="C750" s="72">
        <v>36.89</v>
      </c>
      <c r="D750" s="71">
        <v>38013790</v>
      </c>
      <c r="E750" s="66" t="s">
        <v>81</v>
      </c>
      <c r="F750" s="16">
        <f t="shared" si="17"/>
        <v>263</v>
      </c>
      <c r="G750" s="67" cm="1">
        <f t="array" ref="G750">INDEX($B$5:$B$1012, F750)</f>
        <v>42354</v>
      </c>
      <c r="H750" s="69" cm="1">
        <f t="array" ref="H750">INDEX($C$5:$C$1012, F750)</f>
        <v>56.13</v>
      </c>
      <c r="I750" s="70" cm="1">
        <f t="array" ref="I750">INDEX($D$5:$D$1012, F750)</f>
        <v>37473420</v>
      </c>
    </row>
    <row r="751" spans="2:9" x14ac:dyDescent="0.2">
      <c r="B751" s="62">
        <v>41654</v>
      </c>
      <c r="C751" s="72">
        <v>36.76</v>
      </c>
      <c r="D751" s="71">
        <v>44800170</v>
      </c>
      <c r="E751" s="66" t="s">
        <v>81</v>
      </c>
      <c r="F751" s="16">
        <f t="shared" si="17"/>
        <v>262</v>
      </c>
      <c r="G751" s="67" cm="1">
        <f t="array" ref="G751">INDEX($B$5:$B$1012, F751)</f>
        <v>42355</v>
      </c>
      <c r="H751" s="69" cm="1">
        <f t="array" ref="H751">INDEX($C$5:$C$1012, F751)</f>
        <v>55.7</v>
      </c>
      <c r="I751" s="70" cm="1">
        <f t="array" ref="I751">INDEX($D$5:$D$1012, F751)</f>
        <v>41244620</v>
      </c>
    </row>
    <row r="752" spans="2:9" x14ac:dyDescent="0.2">
      <c r="B752" s="62">
        <v>41653</v>
      </c>
      <c r="C752" s="72">
        <v>35.78</v>
      </c>
      <c r="D752" s="71">
        <v>41613260</v>
      </c>
      <c r="E752" s="66" t="s">
        <v>81</v>
      </c>
      <c r="F752" s="16">
        <f t="shared" si="17"/>
        <v>261</v>
      </c>
      <c r="G752" s="67" cm="1">
        <f t="array" ref="G752">INDEX($B$5:$B$1012, F752)</f>
        <v>42356</v>
      </c>
      <c r="H752" s="69" cm="1">
        <f t="array" ref="H752">INDEX($C$5:$C$1012, F752)</f>
        <v>54.13</v>
      </c>
      <c r="I752" s="70" cm="1">
        <f t="array" ref="I752">INDEX($D$5:$D$1012, F752)</f>
        <v>84141520</v>
      </c>
    </row>
    <row r="753" spans="2:9" x14ac:dyDescent="0.2">
      <c r="B753" s="62">
        <v>41652</v>
      </c>
      <c r="C753" s="72">
        <v>34.979999999999997</v>
      </c>
      <c r="D753" s="71">
        <v>45901890</v>
      </c>
      <c r="E753" s="66" t="s">
        <v>81</v>
      </c>
      <c r="F753" s="16">
        <f t="shared" si="17"/>
        <v>260</v>
      </c>
      <c r="G753" s="67" cm="1">
        <f t="array" ref="G753">INDEX($B$5:$B$1012, F753)</f>
        <v>42359</v>
      </c>
      <c r="H753" s="69" cm="1">
        <f t="array" ref="H753">INDEX($C$5:$C$1012, F753)</f>
        <v>54.83</v>
      </c>
      <c r="I753" s="70" cm="1">
        <f t="array" ref="I753">INDEX($D$5:$D$1012, F753)</f>
        <v>37221910</v>
      </c>
    </row>
    <row r="754" spans="2:9" x14ac:dyDescent="0.2">
      <c r="B754" s="62">
        <v>41649</v>
      </c>
      <c r="C754" s="72">
        <v>36.04</v>
      </c>
      <c r="D754" s="71">
        <v>40548810</v>
      </c>
      <c r="E754" s="66" t="s">
        <v>81</v>
      </c>
      <c r="F754" s="16">
        <f t="shared" si="17"/>
        <v>259</v>
      </c>
      <c r="G754" s="67" cm="1">
        <f t="array" ref="G754">INDEX($B$5:$B$1012, F754)</f>
        <v>42360</v>
      </c>
      <c r="H754" s="69" cm="1">
        <f t="array" ref="H754">INDEX($C$5:$C$1012, F754)</f>
        <v>55.35</v>
      </c>
      <c r="I754" s="70" cm="1">
        <f t="array" ref="I754">INDEX($D$5:$D$1012, F754)</f>
        <v>28305310</v>
      </c>
    </row>
    <row r="755" spans="2:9" x14ac:dyDescent="0.2">
      <c r="B755" s="62">
        <v>41648</v>
      </c>
      <c r="C755" s="72">
        <v>35.53</v>
      </c>
      <c r="D755" s="71">
        <v>36516280</v>
      </c>
      <c r="E755" s="66" t="s">
        <v>81</v>
      </c>
      <c r="F755" s="16">
        <f t="shared" si="17"/>
        <v>258</v>
      </c>
      <c r="G755" s="67" cm="1">
        <f t="array" ref="G755">INDEX($B$5:$B$1012, F755)</f>
        <v>42361</v>
      </c>
      <c r="H755" s="69" cm="1">
        <f t="array" ref="H755">INDEX($C$5:$C$1012, F755)</f>
        <v>55.82</v>
      </c>
      <c r="I755" s="70" cm="1">
        <f t="array" ref="I755">INDEX($D$5:$D$1012, F755)</f>
        <v>27269200</v>
      </c>
    </row>
    <row r="756" spans="2:9" x14ac:dyDescent="0.2">
      <c r="B756" s="62">
        <v>41647</v>
      </c>
      <c r="C756" s="72">
        <v>35.76</v>
      </c>
      <c r="D756" s="71">
        <v>59951110</v>
      </c>
      <c r="E756" s="66" t="s">
        <v>81</v>
      </c>
      <c r="F756" s="16">
        <f t="shared" si="17"/>
        <v>257</v>
      </c>
      <c r="G756" s="67" cm="1">
        <f t="array" ref="G756">INDEX($B$5:$B$1012, F756)</f>
        <v>42362</v>
      </c>
      <c r="H756" s="69" cm="1">
        <f t="array" ref="H756">INDEX($C$5:$C$1012, F756)</f>
        <v>55.67</v>
      </c>
      <c r="I756" s="70" cm="1">
        <f t="array" ref="I756">INDEX($D$5:$D$1012, F756)</f>
        <v>9570002</v>
      </c>
    </row>
    <row r="757" spans="2:9" x14ac:dyDescent="0.2">
      <c r="B757" s="62">
        <v>41646</v>
      </c>
      <c r="C757" s="72">
        <v>36.409999999999997</v>
      </c>
      <c r="D757" s="71">
        <v>35661130</v>
      </c>
      <c r="E757" s="66" t="s">
        <v>81</v>
      </c>
      <c r="F757" s="16">
        <f t="shared" si="17"/>
        <v>256</v>
      </c>
      <c r="G757" s="67" cm="1">
        <f t="array" ref="G757">INDEX($B$5:$B$1012, F757)</f>
        <v>42366</v>
      </c>
      <c r="H757" s="69" cm="1">
        <f t="array" ref="H757">INDEX($C$5:$C$1012, F757)</f>
        <v>55.95</v>
      </c>
      <c r="I757" s="70" cm="1">
        <f t="array" ref="I757">INDEX($D$5:$D$1012, F757)</f>
        <v>21704030</v>
      </c>
    </row>
    <row r="758" spans="2:9" x14ac:dyDescent="0.2">
      <c r="B758" s="62">
        <v>41645</v>
      </c>
      <c r="C758" s="72">
        <v>36.130000000000003</v>
      </c>
      <c r="D758" s="71">
        <v>43602750</v>
      </c>
      <c r="E758" s="66" t="s">
        <v>81</v>
      </c>
      <c r="F758" s="16">
        <f t="shared" si="17"/>
        <v>255</v>
      </c>
      <c r="G758" s="67" cm="1">
        <f t="array" ref="G758">INDEX($B$5:$B$1012, F758)</f>
        <v>42367</v>
      </c>
      <c r="H758" s="69" cm="1">
        <f t="array" ref="H758">INDEX($C$5:$C$1012, F758)</f>
        <v>56.55</v>
      </c>
      <c r="I758" s="70" cm="1">
        <f t="array" ref="I758">INDEX($D$5:$D$1012, F758)</f>
        <v>27727810</v>
      </c>
    </row>
    <row r="759" spans="2:9" x14ac:dyDescent="0.2">
      <c r="B759" s="62">
        <v>41642</v>
      </c>
      <c r="C759" s="72">
        <v>36.909999999999997</v>
      </c>
      <c r="D759" s="71">
        <v>31134800</v>
      </c>
      <c r="E759" s="66" t="s">
        <v>81</v>
      </c>
      <c r="F759" s="16">
        <f t="shared" si="17"/>
        <v>254</v>
      </c>
      <c r="G759" s="67" cm="1">
        <f t="array" ref="G759">INDEX($B$5:$B$1012, F759)</f>
        <v>42368</v>
      </c>
      <c r="H759" s="69" cm="1">
        <f t="array" ref="H759">INDEX($C$5:$C$1012, F759)</f>
        <v>56.31</v>
      </c>
      <c r="I759" s="70" cm="1">
        <f t="array" ref="I759">INDEX($D$5:$D$1012, F759)</f>
        <v>21690270</v>
      </c>
    </row>
    <row r="760" spans="2:9" x14ac:dyDescent="0.2">
      <c r="B760" s="62">
        <v>41641</v>
      </c>
      <c r="C760" s="72">
        <v>37.159999999999997</v>
      </c>
      <c r="D760" s="71">
        <v>30632030</v>
      </c>
      <c r="E760" s="66" t="s">
        <v>81</v>
      </c>
      <c r="F760" s="16">
        <f t="shared" si="17"/>
        <v>253</v>
      </c>
      <c r="G760" s="67" cm="1">
        <f t="array" ref="G760">INDEX($B$5:$B$1012, F760)</f>
        <v>42369</v>
      </c>
      <c r="H760" s="69" cm="1">
        <f t="array" ref="H760">INDEX($C$5:$C$1012, F760)</f>
        <v>55.48</v>
      </c>
      <c r="I760" s="70" cm="1">
        <f t="array" ref="I760">INDEX($D$5:$D$1012, F760)</f>
        <v>27329930</v>
      </c>
    </row>
    <row r="761" spans="2:9" x14ac:dyDescent="0.2">
      <c r="B761" s="62">
        <v>41639</v>
      </c>
      <c r="C761" s="72">
        <v>37.409999999999997</v>
      </c>
      <c r="D761" s="71">
        <v>17503520</v>
      </c>
      <c r="E761" s="66" t="s">
        <v>81</v>
      </c>
      <c r="F761" s="16">
        <f t="shared" si="17"/>
        <v>252</v>
      </c>
      <c r="G761" s="67" cm="1">
        <f t="array" ref="G761">INDEX($B$5:$B$1012, F761)</f>
        <v>42373</v>
      </c>
      <c r="H761" s="69" cm="1">
        <f t="array" ref="H761">INDEX($C$5:$C$1012, F761)</f>
        <v>54.8</v>
      </c>
      <c r="I761" s="70" cm="1">
        <f t="array" ref="I761">INDEX($D$5:$D$1012, F761)</f>
        <v>53209740</v>
      </c>
    </row>
    <row r="762" spans="2:9" x14ac:dyDescent="0.2">
      <c r="B762" s="62">
        <v>41638</v>
      </c>
      <c r="C762" s="72">
        <v>37.29</v>
      </c>
      <c r="D762" s="71">
        <v>16276880</v>
      </c>
      <c r="E762" s="66" t="s">
        <v>81</v>
      </c>
      <c r="F762" s="16">
        <f t="shared" si="17"/>
        <v>251</v>
      </c>
      <c r="G762" s="67" cm="1">
        <f t="array" ref="G762">INDEX($B$5:$B$1012, F762)</f>
        <v>42374</v>
      </c>
      <c r="H762" s="69" cm="1">
        <f t="array" ref="H762">INDEX($C$5:$C$1012, F762)</f>
        <v>55.05</v>
      </c>
      <c r="I762" s="70" cm="1">
        <f t="array" ref="I762">INDEX($D$5:$D$1012, F762)</f>
        <v>34059040</v>
      </c>
    </row>
    <row r="763" spans="2:9" x14ac:dyDescent="0.2">
      <c r="B763" s="62">
        <v>41635</v>
      </c>
      <c r="C763" s="72">
        <v>37.29</v>
      </c>
      <c r="D763" s="71">
        <v>14563010</v>
      </c>
      <c r="E763" s="66" t="s">
        <v>81</v>
      </c>
      <c r="F763" s="16">
        <f t="shared" si="17"/>
        <v>250</v>
      </c>
      <c r="G763" s="67" cm="1">
        <f t="array" ref="G763">INDEX($B$5:$B$1012, F763)</f>
        <v>42375</v>
      </c>
      <c r="H763" s="69" cm="1">
        <f t="array" ref="H763">INDEX($C$5:$C$1012, F763)</f>
        <v>54.05</v>
      </c>
      <c r="I763" s="70" cm="1">
        <f t="array" ref="I763">INDEX($D$5:$D$1012, F763)</f>
        <v>39498780</v>
      </c>
    </row>
    <row r="764" spans="2:9" x14ac:dyDescent="0.2">
      <c r="B764" s="62">
        <v>41634</v>
      </c>
      <c r="C764" s="72">
        <v>37.44</v>
      </c>
      <c r="D764" s="71">
        <v>17612780</v>
      </c>
      <c r="E764" s="66" t="s">
        <v>81</v>
      </c>
      <c r="F764" s="16">
        <f t="shared" si="17"/>
        <v>249</v>
      </c>
      <c r="G764" s="67" cm="1">
        <f t="array" ref="G764">INDEX($B$5:$B$1012, F764)</f>
        <v>42376</v>
      </c>
      <c r="H764" s="69" cm="1">
        <f t="array" ref="H764">INDEX($C$5:$C$1012, F764)</f>
        <v>52.17</v>
      </c>
      <c r="I764" s="70" cm="1">
        <f t="array" ref="I764">INDEX($D$5:$D$1012, F764)</f>
        <v>56497950</v>
      </c>
    </row>
    <row r="765" spans="2:9" x14ac:dyDescent="0.2">
      <c r="B765" s="62">
        <v>41632</v>
      </c>
      <c r="C765" s="72">
        <v>37.08</v>
      </c>
      <c r="D765" s="71">
        <v>14243000</v>
      </c>
      <c r="E765" s="66" t="s">
        <v>81</v>
      </c>
      <c r="F765" s="16">
        <f t="shared" si="17"/>
        <v>248</v>
      </c>
      <c r="G765" s="67" cm="1">
        <f t="array" ref="G765">INDEX($B$5:$B$1012, F765)</f>
        <v>42377</v>
      </c>
      <c r="H765" s="69" cm="1">
        <f t="array" ref="H765">INDEX($C$5:$C$1012, F765)</f>
        <v>52.33</v>
      </c>
      <c r="I765" s="70" cm="1">
        <f t="array" ref="I765">INDEX($D$5:$D$1012, F765)</f>
        <v>48718970</v>
      </c>
    </row>
    <row r="766" spans="2:9" x14ac:dyDescent="0.2">
      <c r="B766" s="62">
        <v>41631</v>
      </c>
      <c r="C766" s="72">
        <v>36.619999999999997</v>
      </c>
      <c r="D766" s="71">
        <v>25099850</v>
      </c>
      <c r="E766" s="66" t="s">
        <v>81</v>
      </c>
      <c r="F766" s="16">
        <f t="shared" si="17"/>
        <v>247</v>
      </c>
      <c r="G766" s="67" cm="1">
        <f t="array" ref="G766">INDEX($B$5:$B$1012, F766)</f>
        <v>42380</v>
      </c>
      <c r="H766" s="69" cm="1">
        <f t="array" ref="H766">INDEX($C$5:$C$1012, F766)</f>
        <v>52.3</v>
      </c>
      <c r="I766" s="70" cm="1">
        <f t="array" ref="I766">INDEX($D$5:$D$1012, F766)</f>
        <v>36889200</v>
      </c>
    </row>
    <row r="767" spans="2:9" x14ac:dyDescent="0.2">
      <c r="B767" s="62">
        <v>41628</v>
      </c>
      <c r="C767" s="72">
        <v>36.799999999999997</v>
      </c>
      <c r="D767" s="71">
        <v>62648640</v>
      </c>
      <c r="E767" s="66" t="s">
        <v>81</v>
      </c>
      <c r="F767" s="16">
        <f t="shared" si="17"/>
        <v>246</v>
      </c>
      <c r="G767" s="67" cm="1">
        <f t="array" ref="G767">INDEX($B$5:$B$1012, F767)</f>
        <v>42381</v>
      </c>
      <c r="H767" s="69" cm="1">
        <f t="array" ref="H767">INDEX($C$5:$C$1012, F767)</f>
        <v>52.78</v>
      </c>
      <c r="I767" s="70" cm="1">
        <f t="array" ref="I767">INDEX($D$5:$D$1012, F767)</f>
        <v>36061760</v>
      </c>
    </row>
    <row r="768" spans="2:9" x14ac:dyDescent="0.2">
      <c r="B768" s="62">
        <v>41627</v>
      </c>
      <c r="C768" s="72">
        <v>36.25</v>
      </c>
      <c r="D768" s="71">
        <v>34160060</v>
      </c>
      <c r="E768" s="66" t="s">
        <v>81</v>
      </c>
      <c r="F768" s="16">
        <f t="shared" si="17"/>
        <v>245</v>
      </c>
      <c r="G768" s="67" cm="1">
        <f t="array" ref="G768">INDEX($B$5:$B$1012, F768)</f>
        <v>42382</v>
      </c>
      <c r="H768" s="69" cm="1">
        <f t="array" ref="H768">INDEX($C$5:$C$1012, F768)</f>
        <v>51.64</v>
      </c>
      <c r="I768" s="70" cm="1">
        <f t="array" ref="I768">INDEX($D$5:$D$1012, F768)</f>
        <v>66862860</v>
      </c>
    </row>
    <row r="769" spans="2:9" x14ac:dyDescent="0.2">
      <c r="B769" s="62">
        <v>41626</v>
      </c>
      <c r="C769" s="72">
        <v>36.58</v>
      </c>
      <c r="D769" s="71">
        <v>63149770</v>
      </c>
      <c r="E769" s="66" t="s">
        <v>81</v>
      </c>
      <c r="F769" s="16">
        <f t="shared" si="17"/>
        <v>244</v>
      </c>
      <c r="G769" s="67" cm="1">
        <f t="array" ref="G769">INDEX($B$5:$B$1012, F769)</f>
        <v>42383</v>
      </c>
      <c r="H769" s="69" cm="1">
        <f t="array" ref="H769">INDEX($C$5:$C$1012, F769)</f>
        <v>53.11</v>
      </c>
      <c r="I769" s="70" cm="1">
        <f t="array" ref="I769">INDEX($D$5:$D$1012, F769)</f>
        <v>52227000</v>
      </c>
    </row>
    <row r="770" spans="2:9" x14ac:dyDescent="0.2">
      <c r="B770" s="62">
        <v>41625</v>
      </c>
      <c r="C770" s="72">
        <v>36.520000000000003</v>
      </c>
      <c r="D770" s="71">
        <v>45564370</v>
      </c>
      <c r="E770" s="66" t="s">
        <v>81</v>
      </c>
      <c r="F770" s="16">
        <f t="shared" si="17"/>
        <v>243</v>
      </c>
      <c r="G770" s="67" cm="1">
        <f t="array" ref="G770">INDEX($B$5:$B$1012, F770)</f>
        <v>42384</v>
      </c>
      <c r="H770" s="69" cm="1">
        <f t="array" ref="H770">INDEX($C$5:$C$1012, F770)</f>
        <v>50.99</v>
      </c>
      <c r="I770" s="70" cm="1">
        <f t="array" ref="I770">INDEX($D$5:$D$1012, F770)</f>
        <v>71037400</v>
      </c>
    </row>
    <row r="771" spans="2:9" x14ac:dyDescent="0.2">
      <c r="B771" s="62">
        <v>41624</v>
      </c>
      <c r="C771" s="72">
        <v>36.884999999999998</v>
      </c>
      <c r="D771" s="71">
        <v>31731550</v>
      </c>
      <c r="E771" s="66" t="s">
        <v>81</v>
      </c>
      <c r="F771" s="16">
        <f t="shared" si="17"/>
        <v>242</v>
      </c>
      <c r="G771" s="67" cm="1">
        <f t="array" ref="G771">INDEX($B$5:$B$1012, F771)</f>
        <v>42388</v>
      </c>
      <c r="H771" s="69" cm="1">
        <f t="array" ref="H771">INDEX($C$5:$C$1012, F771)</f>
        <v>50.56</v>
      </c>
      <c r="I771" s="70" cm="1">
        <f t="array" ref="I771">INDEX($D$5:$D$1012, F771)</f>
        <v>43484630</v>
      </c>
    </row>
    <row r="772" spans="2:9" x14ac:dyDescent="0.2">
      <c r="B772" s="62">
        <v>41621</v>
      </c>
      <c r="C772" s="72">
        <v>36.69</v>
      </c>
      <c r="D772" s="71">
        <v>40064640</v>
      </c>
      <c r="E772" s="66" t="s">
        <v>81</v>
      </c>
      <c r="F772" s="16">
        <f t="shared" si="17"/>
        <v>241</v>
      </c>
      <c r="G772" s="67" cm="1">
        <f t="array" ref="G772">INDEX($B$5:$B$1012, F772)</f>
        <v>42389</v>
      </c>
      <c r="H772" s="69" cm="1">
        <f t="array" ref="H772">INDEX($C$5:$C$1012, F772)</f>
        <v>50.79</v>
      </c>
      <c r="I772" s="70" cm="1">
        <f t="array" ref="I772">INDEX($D$5:$D$1012, F772)</f>
        <v>63249630</v>
      </c>
    </row>
    <row r="773" spans="2:9" x14ac:dyDescent="0.2">
      <c r="B773" s="62">
        <v>41620</v>
      </c>
      <c r="C773" s="72">
        <v>37.22</v>
      </c>
      <c r="D773" s="71">
        <v>35996660</v>
      </c>
      <c r="E773" s="66" t="s">
        <v>81</v>
      </c>
      <c r="F773" s="16">
        <f t="shared" si="17"/>
        <v>240</v>
      </c>
      <c r="G773" s="67" cm="1">
        <f t="array" ref="G773">INDEX($B$5:$B$1012, F773)</f>
        <v>42390</v>
      </c>
      <c r="H773" s="69" cm="1">
        <f t="array" ref="H773">INDEX($C$5:$C$1012, F773)</f>
        <v>50.48</v>
      </c>
      <c r="I773" s="70" cm="1">
        <f t="array" ref="I773">INDEX($D$5:$D$1012, F773)</f>
        <v>40172530</v>
      </c>
    </row>
    <row r="774" spans="2:9" x14ac:dyDescent="0.2">
      <c r="B774" s="62">
        <v>41619</v>
      </c>
      <c r="C774" s="72">
        <v>37.61</v>
      </c>
      <c r="D774" s="71">
        <v>39848810</v>
      </c>
      <c r="E774" s="66" t="s">
        <v>81</v>
      </c>
      <c r="F774" s="16">
        <f t="shared" ref="F774:F837" si="18">COUNT(B774:B1781)</f>
        <v>239</v>
      </c>
      <c r="G774" s="67" cm="1">
        <f t="array" ref="G774">INDEX($B$5:$B$1012, F774)</f>
        <v>42391</v>
      </c>
      <c r="H774" s="69" cm="1">
        <f t="array" ref="H774">INDEX($C$5:$C$1012, F774)</f>
        <v>52.29</v>
      </c>
      <c r="I774" s="70" cm="1">
        <f t="array" ref="I774">INDEX($D$5:$D$1012, F774)</f>
        <v>36881330</v>
      </c>
    </row>
    <row r="775" spans="2:9" x14ac:dyDescent="0.2">
      <c r="B775" s="62">
        <v>41618</v>
      </c>
      <c r="C775" s="72">
        <v>38.11</v>
      </c>
      <c r="D775" s="71">
        <v>37803720</v>
      </c>
      <c r="E775" s="66" t="s">
        <v>81</v>
      </c>
      <c r="F775" s="16">
        <f t="shared" si="18"/>
        <v>238</v>
      </c>
      <c r="G775" s="67" cm="1">
        <f t="array" ref="G775">INDEX($B$5:$B$1012, F775)</f>
        <v>42394</v>
      </c>
      <c r="H775" s="69" cm="1">
        <f t="array" ref="H775">INDEX($C$5:$C$1012, F775)</f>
        <v>51.79</v>
      </c>
      <c r="I775" s="70" cm="1">
        <f t="array" ref="I775">INDEX($D$5:$D$1012, F775)</f>
        <v>34654900</v>
      </c>
    </row>
    <row r="776" spans="2:9" x14ac:dyDescent="0.2">
      <c r="B776" s="62">
        <v>41617</v>
      </c>
      <c r="C776" s="72">
        <v>38.704999999999998</v>
      </c>
      <c r="D776" s="71">
        <v>30266960</v>
      </c>
      <c r="E776" s="66" t="s">
        <v>81</v>
      </c>
      <c r="F776" s="16">
        <f t="shared" si="18"/>
        <v>237</v>
      </c>
      <c r="G776" s="67" cm="1">
        <f t="array" ref="G776">INDEX($B$5:$B$1012, F776)</f>
        <v>42395</v>
      </c>
      <c r="H776" s="69" cm="1">
        <f t="array" ref="H776">INDEX($C$5:$C$1012, F776)</f>
        <v>52.17</v>
      </c>
      <c r="I776" s="70" cm="1">
        <f t="array" ref="I776">INDEX($D$5:$D$1012, F776)</f>
        <v>28768620</v>
      </c>
    </row>
    <row r="777" spans="2:9" x14ac:dyDescent="0.2">
      <c r="B777" s="62">
        <v>41614</v>
      </c>
      <c r="C777" s="72">
        <v>38.36</v>
      </c>
      <c r="D777" s="71">
        <v>36386790</v>
      </c>
      <c r="E777" s="66" t="s">
        <v>81</v>
      </c>
      <c r="F777" s="16">
        <f t="shared" si="18"/>
        <v>236</v>
      </c>
      <c r="G777" s="67" cm="1">
        <f t="array" ref="G777">INDEX($B$5:$B$1012, F777)</f>
        <v>42396</v>
      </c>
      <c r="H777" s="69" cm="1">
        <f t="array" ref="H777">INDEX($C$5:$C$1012, F777)</f>
        <v>51.22</v>
      </c>
      <c r="I777" s="70" cm="1">
        <f t="array" ref="I777">INDEX($D$5:$D$1012, F777)</f>
        <v>36647310</v>
      </c>
    </row>
    <row r="778" spans="2:9" x14ac:dyDescent="0.2">
      <c r="B778" s="62">
        <v>41613</v>
      </c>
      <c r="C778" s="72">
        <v>38</v>
      </c>
      <c r="D778" s="71">
        <v>116303700</v>
      </c>
      <c r="E778" s="66" t="s">
        <v>81</v>
      </c>
      <c r="F778" s="16">
        <f t="shared" si="18"/>
        <v>235</v>
      </c>
      <c r="G778" s="67" cm="1">
        <f t="array" ref="G778">INDEX($B$5:$B$1012, F778)</f>
        <v>42397</v>
      </c>
      <c r="H778" s="69" cm="1">
        <f t="array" ref="H778">INDEX($C$5:$C$1012, F778)</f>
        <v>52.055</v>
      </c>
      <c r="I778" s="70" cm="1">
        <f t="array" ref="I778">INDEX($D$5:$D$1012, F778)</f>
        <v>61275100</v>
      </c>
    </row>
    <row r="779" spans="2:9" x14ac:dyDescent="0.2">
      <c r="B779" s="62">
        <v>41612</v>
      </c>
      <c r="C779" s="72">
        <v>38.94</v>
      </c>
      <c r="D779" s="71">
        <v>51913320</v>
      </c>
      <c r="E779" s="66" t="s">
        <v>81</v>
      </c>
      <c r="F779" s="16">
        <f t="shared" si="18"/>
        <v>234</v>
      </c>
      <c r="G779" s="67" cm="1">
        <f t="array" ref="G779">INDEX($B$5:$B$1012, F779)</f>
        <v>42398</v>
      </c>
      <c r="H779" s="69" cm="1">
        <f t="array" ref="H779">INDEX($C$5:$C$1012, F779)</f>
        <v>55.09</v>
      </c>
      <c r="I779" s="70" cm="1">
        <f t="array" ref="I779">INDEX($D$5:$D$1012, F779)</f>
        <v>83559310</v>
      </c>
    </row>
    <row r="780" spans="2:9" x14ac:dyDescent="0.2">
      <c r="B780" s="62">
        <v>41611</v>
      </c>
      <c r="C780" s="72">
        <v>38.31</v>
      </c>
      <c r="D780" s="71">
        <v>52099230</v>
      </c>
      <c r="E780" s="66" t="s">
        <v>81</v>
      </c>
      <c r="F780" s="16">
        <f t="shared" si="18"/>
        <v>233</v>
      </c>
      <c r="G780" s="67" cm="1">
        <f t="array" ref="G780">INDEX($B$5:$B$1012, F780)</f>
        <v>42401</v>
      </c>
      <c r="H780" s="69" cm="1">
        <f t="array" ref="H780">INDEX($C$5:$C$1012, F780)</f>
        <v>54.71</v>
      </c>
      <c r="I780" s="70" cm="1">
        <f t="array" ref="I780">INDEX($D$5:$D$1012, F780)</f>
        <v>44172930</v>
      </c>
    </row>
    <row r="781" spans="2:9" x14ac:dyDescent="0.2">
      <c r="B781" s="62">
        <v>41610</v>
      </c>
      <c r="C781" s="72">
        <v>38.450000000000003</v>
      </c>
      <c r="D781" s="71">
        <v>42927720</v>
      </c>
      <c r="E781" s="66" t="s">
        <v>81</v>
      </c>
      <c r="F781" s="16">
        <f t="shared" si="18"/>
        <v>232</v>
      </c>
      <c r="G781" s="67" cm="1">
        <f t="array" ref="G781">INDEX($B$5:$B$1012, F781)</f>
        <v>42402</v>
      </c>
      <c r="H781" s="69" cm="1">
        <f t="array" ref="H781">INDEX($C$5:$C$1012, F781)</f>
        <v>53</v>
      </c>
      <c r="I781" s="70" cm="1">
        <f t="array" ref="I781">INDEX($D$5:$D$1012, F781)</f>
        <v>55388320</v>
      </c>
    </row>
    <row r="782" spans="2:9" x14ac:dyDescent="0.2">
      <c r="B782" s="62">
        <v>41607</v>
      </c>
      <c r="C782" s="72">
        <v>38.130000000000003</v>
      </c>
      <c r="D782" s="71">
        <v>22090430</v>
      </c>
      <c r="E782" s="66" t="s">
        <v>81</v>
      </c>
      <c r="F782" s="16">
        <f t="shared" si="18"/>
        <v>231</v>
      </c>
      <c r="G782" s="67" cm="1">
        <f t="array" ref="G782">INDEX($B$5:$B$1012, F782)</f>
        <v>42403</v>
      </c>
      <c r="H782" s="69" cm="1">
        <f t="array" ref="H782">INDEX($C$5:$C$1012, F782)</f>
        <v>52.16</v>
      </c>
      <c r="I782" s="70" cm="1">
        <f t="array" ref="I782">INDEX($D$5:$D$1012, F782)</f>
        <v>57526850</v>
      </c>
    </row>
    <row r="783" spans="2:9" x14ac:dyDescent="0.2">
      <c r="B783" s="62">
        <v>41605</v>
      </c>
      <c r="C783" s="72">
        <v>37.6</v>
      </c>
      <c r="D783" s="71">
        <v>26001220</v>
      </c>
      <c r="E783" s="66" t="s">
        <v>81</v>
      </c>
      <c r="F783" s="16">
        <f t="shared" si="18"/>
        <v>230</v>
      </c>
      <c r="G783" s="67" cm="1">
        <f t="array" ref="G783">INDEX($B$5:$B$1012, F783)</f>
        <v>42404</v>
      </c>
      <c r="H783" s="69" cm="1">
        <f t="array" ref="H783">INDEX($C$5:$C$1012, F783)</f>
        <v>52</v>
      </c>
      <c r="I783" s="70" cm="1">
        <f t="array" ref="I783">INDEX($D$5:$D$1012, F783)</f>
        <v>46967100</v>
      </c>
    </row>
    <row r="784" spans="2:9" x14ac:dyDescent="0.2">
      <c r="B784" s="62">
        <v>41604</v>
      </c>
      <c r="C784" s="72">
        <v>37.35</v>
      </c>
      <c r="D784" s="71">
        <v>34464750</v>
      </c>
      <c r="E784" s="66" t="s">
        <v>81</v>
      </c>
      <c r="F784" s="16">
        <f t="shared" si="18"/>
        <v>229</v>
      </c>
      <c r="G784" s="67" cm="1">
        <f t="array" ref="G784">INDEX($B$5:$B$1012, F784)</f>
        <v>42405</v>
      </c>
      <c r="H784" s="69" cm="1">
        <f t="array" ref="H784">INDEX($C$5:$C$1012, F784)</f>
        <v>50.16</v>
      </c>
      <c r="I784" s="70" cm="1">
        <f t="array" ref="I784">INDEX($D$5:$D$1012, F784)</f>
        <v>61262540</v>
      </c>
    </row>
    <row r="785" spans="2:9" x14ac:dyDescent="0.2">
      <c r="B785" s="62">
        <v>41603</v>
      </c>
      <c r="C785" s="72">
        <v>37.64</v>
      </c>
      <c r="D785" s="71">
        <v>30646250</v>
      </c>
      <c r="E785" s="66" t="s">
        <v>81</v>
      </c>
      <c r="F785" s="16">
        <f t="shared" si="18"/>
        <v>228</v>
      </c>
      <c r="G785" s="67" cm="1">
        <f t="array" ref="G785">INDEX($B$5:$B$1012, F785)</f>
        <v>42408</v>
      </c>
      <c r="H785" s="69" cm="1">
        <f t="array" ref="H785">INDEX($C$5:$C$1012, F785)</f>
        <v>49.41</v>
      </c>
      <c r="I785" s="70" cm="1">
        <f t="array" ref="I785">INDEX($D$5:$D$1012, F785)</f>
        <v>58393070</v>
      </c>
    </row>
    <row r="786" spans="2:9" x14ac:dyDescent="0.2">
      <c r="B786" s="62">
        <v>41600</v>
      </c>
      <c r="C786" s="72">
        <v>37.57</v>
      </c>
      <c r="D786" s="71">
        <v>27970790</v>
      </c>
      <c r="E786" s="66" t="s">
        <v>81</v>
      </c>
      <c r="F786" s="16">
        <f t="shared" si="18"/>
        <v>227</v>
      </c>
      <c r="G786" s="67" cm="1">
        <f t="array" ref="G786">INDEX($B$5:$B$1012, F786)</f>
        <v>42409</v>
      </c>
      <c r="H786" s="69" cm="1">
        <f t="array" ref="H786">INDEX($C$5:$C$1012, F786)</f>
        <v>49.28</v>
      </c>
      <c r="I786" s="70" cm="1">
        <f t="array" ref="I786">INDEX($D$5:$D$1012, F786)</f>
        <v>46589450</v>
      </c>
    </row>
    <row r="787" spans="2:9" x14ac:dyDescent="0.2">
      <c r="B787" s="62">
        <v>41599</v>
      </c>
      <c r="C787" s="72">
        <v>37.4</v>
      </c>
      <c r="D787" s="71">
        <v>23039300</v>
      </c>
      <c r="E787" s="66" t="s">
        <v>81</v>
      </c>
      <c r="F787" s="16">
        <f t="shared" si="18"/>
        <v>226</v>
      </c>
      <c r="G787" s="67" cm="1">
        <f t="array" ref="G787">INDEX($B$5:$B$1012, F787)</f>
        <v>42410</v>
      </c>
      <c r="H787" s="69" cm="1">
        <f t="array" ref="H787">INDEX($C$5:$C$1012, F787)</f>
        <v>49.71</v>
      </c>
      <c r="I787" s="70" cm="1">
        <f t="array" ref="I787">INDEX($D$5:$D$1012, F787)</f>
        <v>38220450</v>
      </c>
    </row>
    <row r="788" spans="2:9" x14ac:dyDescent="0.2">
      <c r="B788" s="62">
        <v>41598</v>
      </c>
      <c r="C788" s="72">
        <v>37.08</v>
      </c>
      <c r="D788" s="71">
        <v>32229950</v>
      </c>
      <c r="E788" s="66" t="s">
        <v>81</v>
      </c>
      <c r="F788" s="16">
        <f t="shared" si="18"/>
        <v>225</v>
      </c>
      <c r="G788" s="67" cm="1">
        <f t="array" ref="G788">INDEX($B$5:$B$1012, F788)</f>
        <v>42411</v>
      </c>
      <c r="H788" s="69" cm="1">
        <f t="array" ref="H788">INDEX($C$5:$C$1012, F788)</f>
        <v>49.69</v>
      </c>
      <c r="I788" s="70" cm="1">
        <f t="array" ref="I788">INDEX($D$5:$D$1012, F788)</f>
        <v>48855890</v>
      </c>
    </row>
    <row r="789" spans="2:9" x14ac:dyDescent="0.2">
      <c r="B789" s="62">
        <v>41597</v>
      </c>
      <c r="C789" s="72">
        <v>36.74</v>
      </c>
      <c r="D789" s="71">
        <v>44253730</v>
      </c>
      <c r="E789" s="66" t="s">
        <v>81</v>
      </c>
      <c r="F789" s="16">
        <f t="shared" si="18"/>
        <v>224</v>
      </c>
      <c r="G789" s="67" cm="1">
        <f t="array" ref="G789">INDEX($B$5:$B$1012, F789)</f>
        <v>42412</v>
      </c>
      <c r="H789" s="69" cm="1">
        <f t="array" ref="H789">INDEX($C$5:$C$1012, F789)</f>
        <v>50.5</v>
      </c>
      <c r="I789" s="70" cm="1">
        <f t="array" ref="I789">INDEX($D$5:$D$1012, F789)</f>
        <v>34216160</v>
      </c>
    </row>
    <row r="790" spans="2:9" x14ac:dyDescent="0.2">
      <c r="B790" s="62">
        <v>41596</v>
      </c>
      <c r="C790" s="72">
        <v>37.200000000000003</v>
      </c>
      <c r="D790" s="71">
        <v>53250230</v>
      </c>
      <c r="E790" s="66" t="s">
        <v>81</v>
      </c>
      <c r="F790" s="16">
        <f t="shared" si="18"/>
        <v>223</v>
      </c>
      <c r="G790" s="67" cm="1">
        <f t="array" ref="G790">INDEX($B$5:$B$1012, F790)</f>
        <v>42416</v>
      </c>
      <c r="H790" s="69" cm="1">
        <f t="array" ref="H790">INDEX($C$5:$C$1012, F790)</f>
        <v>51.09</v>
      </c>
      <c r="I790" s="70" cm="1">
        <f t="array" ref="I790">INDEX($D$5:$D$1012, F790)</f>
        <v>36460400</v>
      </c>
    </row>
    <row r="791" spans="2:9" x14ac:dyDescent="0.2">
      <c r="B791" s="62">
        <v>41593</v>
      </c>
      <c r="C791" s="72">
        <v>37.841000000000001</v>
      </c>
      <c r="D791" s="71">
        <v>50601080</v>
      </c>
      <c r="E791" s="66" t="s">
        <v>81</v>
      </c>
      <c r="F791" s="16">
        <f t="shared" si="18"/>
        <v>222</v>
      </c>
      <c r="G791" s="67" cm="1">
        <f t="array" ref="G791">INDEX($B$5:$B$1012, F791)</f>
        <v>42417</v>
      </c>
      <c r="H791" s="69" cm="1">
        <f t="array" ref="H791">INDEX($C$5:$C$1012, F791)</f>
        <v>52.42</v>
      </c>
      <c r="I791" s="70" cm="1">
        <f t="array" ref="I791">INDEX($D$5:$D$1012, F791)</f>
        <v>40779580</v>
      </c>
    </row>
    <row r="792" spans="2:9" x14ac:dyDescent="0.2">
      <c r="B792" s="62">
        <v>41592</v>
      </c>
      <c r="C792" s="72">
        <v>38.021000000000001</v>
      </c>
      <c r="D792" s="71">
        <v>46183380</v>
      </c>
      <c r="E792" s="66" t="s">
        <v>81</v>
      </c>
      <c r="F792" s="16">
        <f t="shared" si="18"/>
        <v>221</v>
      </c>
      <c r="G792" s="67" cm="1">
        <f t="array" ref="G792">INDEX($B$5:$B$1012, F792)</f>
        <v>42418</v>
      </c>
      <c r="H792" s="69" cm="1">
        <f t="array" ref="H792">INDEX($C$5:$C$1012, F792)</f>
        <v>52.19</v>
      </c>
      <c r="I792" s="70" cm="1">
        <f t="array" ref="I792">INDEX($D$5:$D$1012, F792)</f>
        <v>27016950</v>
      </c>
    </row>
    <row r="793" spans="2:9" x14ac:dyDescent="0.2">
      <c r="B793" s="62">
        <v>41591</v>
      </c>
      <c r="C793" s="72">
        <v>38.155000000000001</v>
      </c>
      <c r="D793" s="71">
        <v>44908560</v>
      </c>
      <c r="E793" s="66" t="s">
        <v>81</v>
      </c>
      <c r="F793" s="16">
        <f t="shared" si="18"/>
        <v>220</v>
      </c>
      <c r="G793" s="67" cm="1">
        <f t="array" ref="G793">INDEX($B$5:$B$1012, F793)</f>
        <v>42419</v>
      </c>
      <c r="H793" s="69" cm="1">
        <f t="array" ref="H793">INDEX($C$5:$C$1012, F793)</f>
        <v>51.82</v>
      </c>
      <c r="I793" s="70" cm="1">
        <f t="array" ref="I793">INDEX($D$5:$D$1012, F793)</f>
        <v>33531580</v>
      </c>
    </row>
    <row r="794" spans="2:9" x14ac:dyDescent="0.2">
      <c r="B794" s="62">
        <v>41590</v>
      </c>
      <c r="C794" s="72">
        <v>37.36</v>
      </c>
      <c r="D794" s="71">
        <v>31850190</v>
      </c>
      <c r="E794" s="66" t="s">
        <v>81</v>
      </c>
      <c r="F794" s="16">
        <f t="shared" si="18"/>
        <v>219</v>
      </c>
      <c r="G794" s="67" cm="1">
        <f t="array" ref="G794">INDEX($B$5:$B$1012, F794)</f>
        <v>42422</v>
      </c>
      <c r="H794" s="69" cm="1">
        <f t="array" ref="H794">INDEX($C$5:$C$1012, F794)</f>
        <v>52.65</v>
      </c>
      <c r="I794" s="70" cm="1">
        <f t="array" ref="I794">INDEX($D$5:$D$1012, F794)</f>
        <v>24992030</v>
      </c>
    </row>
    <row r="795" spans="2:9" x14ac:dyDescent="0.2">
      <c r="B795" s="62">
        <v>41589</v>
      </c>
      <c r="C795" s="72">
        <v>37.590000000000003</v>
      </c>
      <c r="D795" s="71">
        <v>26833550</v>
      </c>
      <c r="E795" s="66" t="s">
        <v>81</v>
      </c>
      <c r="F795" s="16">
        <f t="shared" si="18"/>
        <v>218</v>
      </c>
      <c r="G795" s="67" cm="1">
        <f t="array" ref="G795">INDEX($B$5:$B$1012, F795)</f>
        <v>42423</v>
      </c>
      <c r="H795" s="69" cm="1">
        <f t="array" ref="H795">INDEX($C$5:$C$1012, F795)</f>
        <v>51.18</v>
      </c>
      <c r="I795" s="70" cm="1">
        <f t="array" ref="I795">INDEX($D$5:$D$1012, F795)</f>
        <v>28866480</v>
      </c>
    </row>
    <row r="796" spans="2:9" x14ac:dyDescent="0.2">
      <c r="B796" s="62">
        <v>41586</v>
      </c>
      <c r="C796" s="72">
        <v>37.78</v>
      </c>
      <c r="D796" s="71">
        <v>36737380</v>
      </c>
      <c r="E796" s="66" t="s">
        <v>81</v>
      </c>
      <c r="F796" s="16">
        <f t="shared" si="18"/>
        <v>217</v>
      </c>
      <c r="G796" s="67" cm="1">
        <f t="array" ref="G796">INDEX($B$5:$B$1012, F796)</f>
        <v>42424</v>
      </c>
      <c r="H796" s="69" cm="1">
        <f t="array" ref="H796">INDEX($C$5:$C$1012, F796)</f>
        <v>51.36</v>
      </c>
      <c r="I796" s="70" cm="1">
        <f t="array" ref="I796">INDEX($D$5:$D$1012, F796)</f>
        <v>32918630</v>
      </c>
    </row>
    <row r="797" spans="2:9" x14ac:dyDescent="0.2">
      <c r="B797" s="62">
        <v>41585</v>
      </c>
      <c r="C797" s="72">
        <v>37.5</v>
      </c>
      <c r="D797" s="71">
        <v>60436870</v>
      </c>
      <c r="E797" s="66" t="s">
        <v>81</v>
      </c>
      <c r="F797" s="16">
        <f t="shared" si="18"/>
        <v>216</v>
      </c>
      <c r="G797" s="67" cm="1">
        <f t="array" ref="G797">INDEX($B$5:$B$1012, F797)</f>
        <v>42425</v>
      </c>
      <c r="H797" s="69" cm="1">
        <f t="array" ref="H797">INDEX($C$5:$C$1012, F797)</f>
        <v>52.1</v>
      </c>
      <c r="I797" s="70" cm="1">
        <f t="array" ref="I797">INDEX($D$5:$D$1012, F797)</f>
        <v>26906570</v>
      </c>
    </row>
    <row r="798" spans="2:9" x14ac:dyDescent="0.2">
      <c r="B798" s="62">
        <v>41584</v>
      </c>
      <c r="C798" s="72">
        <v>38.18</v>
      </c>
      <c r="D798" s="71">
        <v>88882640</v>
      </c>
      <c r="E798" s="66" t="s">
        <v>81</v>
      </c>
      <c r="F798" s="16">
        <f t="shared" si="18"/>
        <v>215</v>
      </c>
      <c r="G798" s="67" cm="1">
        <f t="array" ref="G798">INDEX($B$5:$B$1012, F798)</f>
        <v>42426</v>
      </c>
      <c r="H798" s="69" cm="1">
        <f t="array" ref="H798">INDEX($C$5:$C$1012, F798)</f>
        <v>51.3</v>
      </c>
      <c r="I798" s="70" cm="1">
        <f t="array" ref="I798">INDEX($D$5:$D$1012, F798)</f>
        <v>35945290</v>
      </c>
    </row>
    <row r="799" spans="2:9" x14ac:dyDescent="0.2">
      <c r="B799" s="62">
        <v>41583</v>
      </c>
      <c r="C799" s="72">
        <v>36.64</v>
      </c>
      <c r="D799" s="71">
        <v>51636470</v>
      </c>
      <c r="E799" s="66" t="s">
        <v>81</v>
      </c>
      <c r="F799" s="16">
        <f t="shared" si="18"/>
        <v>214</v>
      </c>
      <c r="G799" s="67" cm="1">
        <f t="array" ref="G799">INDEX($B$5:$B$1012, F799)</f>
        <v>42429</v>
      </c>
      <c r="H799" s="69" cm="1">
        <f t="array" ref="H799">INDEX($C$5:$C$1012, F799)</f>
        <v>50.88</v>
      </c>
      <c r="I799" s="70" cm="1">
        <f t="array" ref="I799">INDEX($D$5:$D$1012, F799)</f>
        <v>31632160</v>
      </c>
    </row>
    <row r="800" spans="2:9" x14ac:dyDescent="0.2">
      <c r="B800" s="62">
        <v>41582</v>
      </c>
      <c r="C800" s="72">
        <v>35.94</v>
      </c>
      <c r="D800" s="71">
        <v>28059990</v>
      </c>
      <c r="E800" s="66" t="s">
        <v>81</v>
      </c>
      <c r="F800" s="16">
        <f t="shared" si="18"/>
        <v>213</v>
      </c>
      <c r="G800" s="67" cm="1">
        <f t="array" ref="G800">INDEX($B$5:$B$1012, F800)</f>
        <v>42430</v>
      </c>
      <c r="H800" s="69" cm="1">
        <f t="array" ref="H800">INDEX($C$5:$C$1012, F800)</f>
        <v>52.58</v>
      </c>
      <c r="I800" s="70" cm="1">
        <f t="array" ref="I800">INDEX($D$5:$D$1012, F800)</f>
        <v>32999880</v>
      </c>
    </row>
    <row r="801" spans="2:9" x14ac:dyDescent="0.2">
      <c r="B801" s="62">
        <v>41579</v>
      </c>
      <c r="C801" s="72">
        <v>35.524999999999999</v>
      </c>
      <c r="D801" s="71">
        <v>40264390</v>
      </c>
      <c r="E801" s="66" t="s">
        <v>81</v>
      </c>
      <c r="F801" s="16">
        <f t="shared" si="18"/>
        <v>212</v>
      </c>
      <c r="G801" s="67" cm="1">
        <f t="array" ref="G801">INDEX($B$5:$B$1012, F801)</f>
        <v>42431</v>
      </c>
      <c r="H801" s="69" cm="1">
        <f t="array" ref="H801">INDEX($C$5:$C$1012, F801)</f>
        <v>52.95</v>
      </c>
      <c r="I801" s="70" cm="1">
        <f t="array" ref="I801">INDEX($D$5:$D$1012, F801)</f>
        <v>29269240</v>
      </c>
    </row>
    <row r="802" spans="2:9" x14ac:dyDescent="0.2">
      <c r="B802" s="62">
        <v>41578</v>
      </c>
      <c r="C802" s="72">
        <v>35.405000000000001</v>
      </c>
      <c r="D802" s="71">
        <v>41681980</v>
      </c>
      <c r="E802" s="66" t="s">
        <v>81</v>
      </c>
      <c r="F802" s="16">
        <f t="shared" si="18"/>
        <v>211</v>
      </c>
      <c r="G802" s="67" cm="1">
        <f t="array" ref="G802">INDEX($B$5:$B$1012, F802)</f>
        <v>42432</v>
      </c>
      <c r="H802" s="69" cm="1">
        <f t="array" ref="H802">INDEX($C$5:$C$1012, F802)</f>
        <v>52.35</v>
      </c>
      <c r="I802" s="70" cm="1">
        <f t="array" ref="I802">INDEX($D$5:$D$1012, F802)</f>
        <v>24423260</v>
      </c>
    </row>
    <row r="803" spans="2:9" x14ac:dyDescent="0.2">
      <c r="B803" s="62">
        <v>41577</v>
      </c>
      <c r="C803" s="72">
        <v>35.54</v>
      </c>
      <c r="D803" s="71">
        <v>36997340</v>
      </c>
      <c r="E803" s="66" t="s">
        <v>81</v>
      </c>
      <c r="F803" s="16">
        <f t="shared" si="18"/>
        <v>210</v>
      </c>
      <c r="G803" s="67" cm="1">
        <f t="array" ref="G803">INDEX($B$5:$B$1012, F803)</f>
        <v>42433</v>
      </c>
      <c r="H803" s="69" cm="1">
        <f t="array" ref="H803">INDEX($C$5:$C$1012, F803)</f>
        <v>52.03</v>
      </c>
      <c r="I803" s="70" cm="1">
        <f t="array" ref="I803">INDEX($D$5:$D$1012, F803)</f>
        <v>33033010</v>
      </c>
    </row>
    <row r="804" spans="2:9" x14ac:dyDescent="0.2">
      <c r="B804" s="62">
        <v>41576</v>
      </c>
      <c r="C804" s="72">
        <v>35.520000000000003</v>
      </c>
      <c r="D804" s="71">
        <v>31702210</v>
      </c>
      <c r="E804" s="66" t="s">
        <v>81</v>
      </c>
      <c r="F804" s="16">
        <f t="shared" si="18"/>
        <v>209</v>
      </c>
      <c r="G804" s="67" cm="1">
        <f t="array" ref="G804">INDEX($B$5:$B$1012, F804)</f>
        <v>42436</v>
      </c>
      <c r="H804" s="69" cm="1">
        <f t="array" ref="H804">INDEX($C$5:$C$1012, F804)</f>
        <v>51.03</v>
      </c>
      <c r="I804" s="70" cm="1">
        <f t="array" ref="I804">INDEX($D$5:$D$1012, F804)</f>
        <v>38426220</v>
      </c>
    </row>
    <row r="805" spans="2:9" x14ac:dyDescent="0.2">
      <c r="B805" s="62">
        <v>41575</v>
      </c>
      <c r="C805" s="72">
        <v>35.57</v>
      </c>
      <c r="D805" s="71">
        <v>38269380</v>
      </c>
      <c r="E805" s="66" t="s">
        <v>81</v>
      </c>
      <c r="F805" s="16">
        <f t="shared" si="18"/>
        <v>208</v>
      </c>
      <c r="G805" s="67" cm="1">
        <f t="array" ref="G805">INDEX($B$5:$B$1012, F805)</f>
        <v>42437</v>
      </c>
      <c r="H805" s="69" cm="1">
        <f t="array" ref="H805">INDEX($C$5:$C$1012, F805)</f>
        <v>51.65</v>
      </c>
      <c r="I805" s="70" cm="1">
        <f t="array" ref="I805">INDEX($D$5:$D$1012, F805)</f>
        <v>33822940</v>
      </c>
    </row>
    <row r="806" spans="2:9" x14ac:dyDescent="0.2">
      <c r="B806" s="62">
        <v>41572</v>
      </c>
      <c r="C806" s="72">
        <v>35.729999999999997</v>
      </c>
      <c r="D806" s="71">
        <v>113467800</v>
      </c>
      <c r="E806" s="66" t="s">
        <v>81</v>
      </c>
      <c r="F806" s="16">
        <f t="shared" si="18"/>
        <v>207</v>
      </c>
      <c r="G806" s="67" cm="1">
        <f t="array" ref="G806">INDEX($B$5:$B$1012, F806)</f>
        <v>42438</v>
      </c>
      <c r="H806" s="69" cm="1">
        <f t="array" ref="H806">INDEX($C$5:$C$1012, F806)</f>
        <v>52.84</v>
      </c>
      <c r="I806" s="70" cm="1">
        <f t="array" ref="I806">INDEX($D$5:$D$1012, F806)</f>
        <v>28238270</v>
      </c>
    </row>
    <row r="807" spans="2:9" x14ac:dyDescent="0.2">
      <c r="B807" s="62">
        <v>41571</v>
      </c>
      <c r="C807" s="72">
        <v>33.72</v>
      </c>
      <c r="D807" s="71">
        <v>51861010</v>
      </c>
      <c r="E807" s="66" t="s">
        <v>81</v>
      </c>
      <c r="F807" s="16">
        <f t="shared" si="18"/>
        <v>206</v>
      </c>
      <c r="G807" s="67" cm="1">
        <f t="array" ref="G807">INDEX($B$5:$B$1012, F807)</f>
        <v>42439</v>
      </c>
      <c r="H807" s="69" cm="1">
        <f t="array" ref="H807">INDEX($C$5:$C$1012, F807)</f>
        <v>52.05</v>
      </c>
      <c r="I807" s="70" cm="1">
        <f t="array" ref="I807">INDEX($D$5:$D$1012, F807)</f>
        <v>38385600</v>
      </c>
    </row>
    <row r="808" spans="2:9" x14ac:dyDescent="0.2">
      <c r="B808" s="62">
        <v>41570</v>
      </c>
      <c r="C808" s="72">
        <v>33.76</v>
      </c>
      <c r="D808" s="71">
        <v>58422670</v>
      </c>
      <c r="E808" s="66" t="s">
        <v>81</v>
      </c>
      <c r="F808" s="16">
        <f t="shared" si="18"/>
        <v>205</v>
      </c>
      <c r="G808" s="67" cm="1">
        <f t="array" ref="G808">INDEX($B$5:$B$1012, F808)</f>
        <v>42440</v>
      </c>
      <c r="H808" s="69" cm="1">
        <f t="array" ref="H808">INDEX($C$5:$C$1012, F808)</f>
        <v>53.07</v>
      </c>
      <c r="I808" s="70" cm="1">
        <f t="array" ref="I808">INDEX($D$5:$D$1012, F808)</f>
        <v>32267360</v>
      </c>
    </row>
    <row r="809" spans="2:9" x14ac:dyDescent="0.2">
      <c r="B809" s="62">
        <v>41569</v>
      </c>
      <c r="C809" s="72">
        <v>34.58</v>
      </c>
      <c r="D809" s="71">
        <v>40343530</v>
      </c>
      <c r="E809" s="66" t="s">
        <v>81</v>
      </c>
      <c r="F809" s="16">
        <f t="shared" si="18"/>
        <v>204</v>
      </c>
      <c r="G809" s="67" cm="1">
        <f t="array" ref="G809">INDEX($B$5:$B$1012, F809)</f>
        <v>42443</v>
      </c>
      <c r="H809" s="69" cm="1">
        <f t="array" ref="H809">INDEX($C$5:$C$1012, F809)</f>
        <v>53.17</v>
      </c>
      <c r="I809" s="70" cm="1">
        <f t="array" ref="I809">INDEX($D$5:$D$1012, F809)</f>
        <v>24079770</v>
      </c>
    </row>
    <row r="810" spans="2:9" x14ac:dyDescent="0.2">
      <c r="B810" s="62">
        <v>41568</v>
      </c>
      <c r="C810" s="72">
        <v>34.99</v>
      </c>
      <c r="D810" s="71">
        <v>27433510</v>
      </c>
      <c r="E810" s="66" t="s">
        <v>81</v>
      </c>
      <c r="F810" s="16">
        <f t="shared" si="18"/>
        <v>203</v>
      </c>
      <c r="G810" s="67" cm="1">
        <f t="array" ref="G810">INDEX($B$5:$B$1012, F810)</f>
        <v>42444</v>
      </c>
      <c r="H810" s="69" cm="1">
        <f t="array" ref="H810">INDEX($C$5:$C$1012, F810)</f>
        <v>53.59</v>
      </c>
      <c r="I810" s="70" cm="1">
        <f t="array" ref="I810">INDEX($D$5:$D$1012, F810)</f>
        <v>21011480</v>
      </c>
    </row>
    <row r="811" spans="2:9" x14ac:dyDescent="0.2">
      <c r="B811" s="62">
        <v>41565</v>
      </c>
      <c r="C811" s="72">
        <v>34.96</v>
      </c>
      <c r="D811" s="71">
        <v>41790110</v>
      </c>
      <c r="E811" s="66" t="s">
        <v>81</v>
      </c>
      <c r="F811" s="16">
        <f t="shared" si="18"/>
        <v>202</v>
      </c>
      <c r="G811" s="67" cm="1">
        <f t="array" ref="G811">INDEX($B$5:$B$1012, F811)</f>
        <v>42445</v>
      </c>
      <c r="H811" s="69" cm="1">
        <f t="array" ref="H811">INDEX($C$5:$C$1012, F811)</f>
        <v>54.35</v>
      </c>
      <c r="I811" s="70" cm="1">
        <f t="array" ref="I811">INDEX($D$5:$D$1012, F811)</f>
        <v>31679130</v>
      </c>
    </row>
    <row r="812" spans="2:9" x14ac:dyDescent="0.2">
      <c r="B812" s="62">
        <v>41564</v>
      </c>
      <c r="C812" s="72">
        <v>34.92</v>
      </c>
      <c r="D812" s="71">
        <v>31332860</v>
      </c>
      <c r="E812" s="66" t="s">
        <v>81</v>
      </c>
      <c r="F812" s="16">
        <f t="shared" si="18"/>
        <v>201</v>
      </c>
      <c r="G812" s="67" cm="1">
        <f t="array" ref="G812">INDEX($B$5:$B$1012, F812)</f>
        <v>42446</v>
      </c>
      <c r="H812" s="69" cm="1">
        <f t="array" ref="H812">INDEX($C$5:$C$1012, F812)</f>
        <v>54.66</v>
      </c>
      <c r="I812" s="70" cm="1">
        <f t="array" ref="I812">INDEX($D$5:$D$1012, F812)</f>
        <v>28193010</v>
      </c>
    </row>
    <row r="813" spans="2:9" x14ac:dyDescent="0.2">
      <c r="B813" s="62">
        <v>41563</v>
      </c>
      <c r="C813" s="72">
        <v>34.64</v>
      </c>
      <c r="D813" s="71">
        <v>34959120</v>
      </c>
      <c r="E813" s="66" t="s">
        <v>81</v>
      </c>
      <c r="F813" s="16">
        <f t="shared" si="18"/>
        <v>200</v>
      </c>
      <c r="G813" s="67" cm="1">
        <f t="array" ref="G813">INDEX($B$5:$B$1012, F813)</f>
        <v>42447</v>
      </c>
      <c r="H813" s="69" cm="1">
        <f t="array" ref="H813">INDEX($C$5:$C$1012, F813)</f>
        <v>53.49</v>
      </c>
      <c r="I813" s="70" cm="1">
        <f t="array" ref="I813">INDEX($D$5:$D$1012, F813)</f>
        <v>67622520</v>
      </c>
    </row>
    <row r="814" spans="2:9" x14ac:dyDescent="0.2">
      <c r="B814" s="62">
        <v>41562</v>
      </c>
      <c r="C814" s="72">
        <v>34.49</v>
      </c>
      <c r="D814" s="71">
        <v>47096400</v>
      </c>
      <c r="E814" s="66" t="s">
        <v>81</v>
      </c>
      <c r="F814" s="16">
        <f t="shared" si="18"/>
        <v>199</v>
      </c>
      <c r="G814" s="67" cm="1">
        <f t="array" ref="G814">INDEX($B$5:$B$1012, F814)</f>
        <v>42450</v>
      </c>
      <c r="H814" s="69" cm="1">
        <f t="array" ref="H814">INDEX($C$5:$C$1012, F814)</f>
        <v>53.86</v>
      </c>
      <c r="I814" s="70" cm="1">
        <f t="array" ref="I814">INDEX($D$5:$D$1012, F814)</f>
        <v>23920160</v>
      </c>
    </row>
    <row r="815" spans="2:9" x14ac:dyDescent="0.2">
      <c r="B815" s="62">
        <v>41561</v>
      </c>
      <c r="C815" s="72">
        <v>34.450000000000003</v>
      </c>
      <c r="D815" s="71">
        <v>27748620</v>
      </c>
      <c r="E815" s="66" t="s">
        <v>81</v>
      </c>
      <c r="F815" s="16">
        <f t="shared" si="18"/>
        <v>198</v>
      </c>
      <c r="G815" s="67" cm="1">
        <f t="array" ref="G815">INDEX($B$5:$B$1012, F815)</f>
        <v>42451</v>
      </c>
      <c r="H815" s="69" cm="1">
        <f t="array" ref="H815">INDEX($C$5:$C$1012, F815)</f>
        <v>54.07</v>
      </c>
      <c r="I815" s="70" cm="1">
        <f t="array" ref="I815">INDEX($D$5:$D$1012, F815)</f>
        <v>23105140</v>
      </c>
    </row>
    <row r="816" spans="2:9" x14ac:dyDescent="0.2">
      <c r="B816" s="62">
        <v>41558</v>
      </c>
      <c r="C816" s="72">
        <v>34.130000000000003</v>
      </c>
      <c r="D816" s="71">
        <v>30030750</v>
      </c>
      <c r="E816" s="66" t="s">
        <v>81</v>
      </c>
      <c r="F816" s="16">
        <f t="shared" si="18"/>
        <v>197</v>
      </c>
      <c r="G816" s="67" cm="1">
        <f t="array" ref="G816">INDEX($B$5:$B$1012, F816)</f>
        <v>42452</v>
      </c>
      <c r="H816" s="69" cm="1">
        <f t="array" ref="H816">INDEX($C$5:$C$1012, F816)</f>
        <v>53.97</v>
      </c>
      <c r="I816" s="70" cm="1">
        <f t="array" ref="I816">INDEX($D$5:$D$1012, F816)</f>
        <v>20123800</v>
      </c>
    </row>
    <row r="817" spans="2:9" x14ac:dyDescent="0.2">
      <c r="B817" s="62">
        <v>41557</v>
      </c>
      <c r="C817" s="72">
        <v>33.76</v>
      </c>
      <c r="D817" s="71">
        <v>42702270</v>
      </c>
      <c r="E817" s="66" t="s">
        <v>81</v>
      </c>
      <c r="F817" s="16">
        <f t="shared" si="18"/>
        <v>196</v>
      </c>
      <c r="G817" s="67" cm="1">
        <f t="array" ref="G817">INDEX($B$5:$B$1012, F817)</f>
        <v>42453</v>
      </c>
      <c r="H817" s="69" cm="1">
        <f t="array" ref="H817">INDEX($C$5:$C$1012, F817)</f>
        <v>54.21</v>
      </c>
      <c r="I817" s="70" cm="1">
        <f t="array" ref="I817">INDEX($D$5:$D$1012, F817)</f>
        <v>18967510</v>
      </c>
    </row>
    <row r="818" spans="2:9" x14ac:dyDescent="0.2">
      <c r="B818" s="62">
        <v>41556</v>
      </c>
      <c r="C818" s="72">
        <v>33.07</v>
      </c>
      <c r="D818" s="71">
        <v>35839870</v>
      </c>
      <c r="E818" s="66" t="s">
        <v>81</v>
      </c>
      <c r="F818" s="16">
        <f t="shared" si="18"/>
        <v>195</v>
      </c>
      <c r="G818" s="67" cm="1">
        <f t="array" ref="G818">INDEX($B$5:$B$1012, F818)</f>
        <v>42457</v>
      </c>
      <c r="H818" s="69" cm="1">
        <f t="array" ref="H818">INDEX($C$5:$C$1012, F818)</f>
        <v>53.54</v>
      </c>
      <c r="I818" s="70" cm="1">
        <f t="array" ref="I818">INDEX($D$5:$D$1012, F818)</f>
        <v>17018120</v>
      </c>
    </row>
    <row r="819" spans="2:9" x14ac:dyDescent="0.2">
      <c r="B819" s="62">
        <v>41555</v>
      </c>
      <c r="C819" s="72">
        <v>33.01</v>
      </c>
      <c r="D819" s="71">
        <v>40953660</v>
      </c>
      <c r="E819" s="66" t="s">
        <v>81</v>
      </c>
      <c r="F819" s="16">
        <f t="shared" si="18"/>
        <v>194</v>
      </c>
      <c r="G819" s="67" cm="1">
        <f t="array" ref="G819">INDEX($B$5:$B$1012, F819)</f>
        <v>42458</v>
      </c>
      <c r="H819" s="69" cm="1">
        <f t="array" ref="H819">INDEX($C$5:$C$1012, F819)</f>
        <v>54.71</v>
      </c>
      <c r="I819" s="70" cm="1">
        <f t="array" ref="I819">INDEX($D$5:$D$1012, F819)</f>
        <v>23913950</v>
      </c>
    </row>
    <row r="820" spans="2:9" x14ac:dyDescent="0.2">
      <c r="B820" s="62">
        <v>41554</v>
      </c>
      <c r="C820" s="72">
        <v>33.299999999999997</v>
      </c>
      <c r="D820" s="71">
        <v>35049210</v>
      </c>
      <c r="E820" s="66" t="s">
        <v>81</v>
      </c>
      <c r="F820" s="16">
        <f t="shared" si="18"/>
        <v>193</v>
      </c>
      <c r="G820" s="67" cm="1">
        <f t="array" ref="G820">INDEX($B$5:$B$1012, F820)</f>
        <v>42459</v>
      </c>
      <c r="H820" s="69" cm="1">
        <f t="array" ref="H820">INDEX($C$5:$C$1012, F820)</f>
        <v>55.05</v>
      </c>
      <c r="I820" s="70" cm="1">
        <f t="array" ref="I820">INDEX($D$5:$D$1012, F820)</f>
        <v>22992090</v>
      </c>
    </row>
    <row r="821" spans="2:9" x14ac:dyDescent="0.2">
      <c r="B821" s="62">
        <v>41551</v>
      </c>
      <c r="C821" s="72">
        <v>33.880000000000003</v>
      </c>
      <c r="D821" s="71">
        <v>32985790</v>
      </c>
      <c r="E821" s="66" t="s">
        <v>81</v>
      </c>
      <c r="F821" s="16">
        <f t="shared" si="18"/>
        <v>192</v>
      </c>
      <c r="G821" s="67" cm="1">
        <f t="array" ref="G821">INDEX($B$5:$B$1012, F821)</f>
        <v>42460</v>
      </c>
      <c r="H821" s="69" cm="1">
        <f t="array" ref="H821">INDEX($C$5:$C$1012, F821)</f>
        <v>55.23</v>
      </c>
      <c r="I821" s="70" cm="1">
        <f t="array" ref="I821">INDEX($D$5:$D$1012, F821)</f>
        <v>26353570</v>
      </c>
    </row>
    <row r="822" spans="2:9" x14ac:dyDescent="0.2">
      <c r="B822" s="62">
        <v>41550</v>
      </c>
      <c r="C822" s="72">
        <v>33.86</v>
      </c>
      <c r="D822" s="71">
        <v>38703760</v>
      </c>
      <c r="E822" s="66" t="s">
        <v>81</v>
      </c>
      <c r="F822" s="16">
        <f t="shared" si="18"/>
        <v>191</v>
      </c>
      <c r="G822" s="67" cm="1">
        <f t="array" ref="G822">INDEX($B$5:$B$1012, F822)</f>
        <v>42461</v>
      </c>
      <c r="H822" s="69" cm="1">
        <f t="array" ref="H822">INDEX($C$5:$C$1012, F822)</f>
        <v>55.57</v>
      </c>
      <c r="I822" s="70" cm="1">
        <f t="array" ref="I822">INDEX($D$5:$D$1012, F822)</f>
        <v>24383590</v>
      </c>
    </row>
    <row r="823" spans="2:9" x14ac:dyDescent="0.2">
      <c r="B823" s="62">
        <v>41549</v>
      </c>
      <c r="C823" s="72">
        <v>33.92</v>
      </c>
      <c r="D823" s="71">
        <v>46924840</v>
      </c>
      <c r="E823" s="66" t="s">
        <v>81</v>
      </c>
      <c r="F823" s="16">
        <f t="shared" si="18"/>
        <v>190</v>
      </c>
      <c r="G823" s="67" cm="1">
        <f t="array" ref="G823">INDEX($B$5:$B$1012, F823)</f>
        <v>42464</v>
      </c>
      <c r="H823" s="69" cm="1">
        <f t="array" ref="H823">INDEX($C$5:$C$1012, F823)</f>
        <v>55.43</v>
      </c>
      <c r="I823" s="70" cm="1">
        <f t="array" ref="I823">INDEX($D$5:$D$1012, F823)</f>
        <v>18908300</v>
      </c>
    </row>
    <row r="824" spans="2:9" x14ac:dyDescent="0.2">
      <c r="B824" s="62">
        <v>41548</v>
      </c>
      <c r="C824" s="72">
        <v>33.58</v>
      </c>
      <c r="D824" s="71">
        <v>36664230</v>
      </c>
      <c r="E824" s="66" t="s">
        <v>81</v>
      </c>
      <c r="F824" s="16">
        <f t="shared" si="18"/>
        <v>189</v>
      </c>
      <c r="G824" s="67" cm="1">
        <f t="array" ref="G824">INDEX($B$5:$B$1012, F824)</f>
        <v>42465</v>
      </c>
      <c r="H824" s="69" cm="1">
        <f t="array" ref="H824">INDEX($C$5:$C$1012, F824)</f>
        <v>54.56</v>
      </c>
      <c r="I824" s="70" cm="1">
        <f t="array" ref="I824">INDEX($D$5:$D$1012, F824)</f>
        <v>19261620</v>
      </c>
    </row>
    <row r="825" spans="2:9" x14ac:dyDescent="0.2">
      <c r="B825" s="62">
        <v>41547</v>
      </c>
      <c r="C825" s="72">
        <v>33.28</v>
      </c>
      <c r="D825" s="71">
        <v>39774300</v>
      </c>
      <c r="E825" s="66" t="s">
        <v>81</v>
      </c>
      <c r="F825" s="16">
        <f t="shared" si="18"/>
        <v>188</v>
      </c>
      <c r="G825" s="67" cm="1">
        <f t="array" ref="G825">INDEX($B$5:$B$1012, F825)</f>
        <v>42466</v>
      </c>
      <c r="H825" s="69" cm="1">
        <f t="array" ref="H825">INDEX($C$5:$C$1012, F825)</f>
        <v>55.12</v>
      </c>
      <c r="I825" s="70" cm="1">
        <f t="array" ref="I825">INDEX($D$5:$D$1012, F825)</f>
        <v>21072150</v>
      </c>
    </row>
    <row r="826" spans="2:9" x14ac:dyDescent="0.2">
      <c r="B826" s="62">
        <v>41544</v>
      </c>
      <c r="C826" s="72">
        <v>33.270000000000003</v>
      </c>
      <c r="D826" s="71">
        <v>55330510</v>
      </c>
      <c r="E826" s="66" t="s">
        <v>81</v>
      </c>
      <c r="F826" s="16">
        <f t="shared" si="18"/>
        <v>187</v>
      </c>
      <c r="G826" s="67" cm="1">
        <f t="array" ref="G826">INDEX($B$5:$B$1012, F826)</f>
        <v>42467</v>
      </c>
      <c r="H826" s="69" cm="1">
        <f t="array" ref="H826">INDEX($C$5:$C$1012, F826)</f>
        <v>54.46</v>
      </c>
      <c r="I826" s="70" cm="1">
        <f t="array" ref="I826">INDEX($D$5:$D$1012, F826)</f>
        <v>19221270</v>
      </c>
    </row>
    <row r="827" spans="2:9" x14ac:dyDescent="0.2">
      <c r="B827" s="62">
        <v>41543</v>
      </c>
      <c r="C827" s="72">
        <v>32.770000000000003</v>
      </c>
      <c r="D827" s="71">
        <v>28457790</v>
      </c>
      <c r="E827" s="66" t="s">
        <v>81</v>
      </c>
      <c r="F827" s="16">
        <f t="shared" si="18"/>
        <v>186</v>
      </c>
      <c r="G827" s="67" cm="1">
        <f t="array" ref="G827">INDEX($B$5:$B$1012, F827)</f>
        <v>42468</v>
      </c>
      <c r="H827" s="69" cm="1">
        <f t="array" ref="H827">INDEX($C$5:$C$1012, F827)</f>
        <v>54.42</v>
      </c>
      <c r="I827" s="70" cm="1">
        <f t="array" ref="I827">INDEX($D$5:$D$1012, F827)</f>
        <v>22159630</v>
      </c>
    </row>
    <row r="828" spans="2:9" x14ac:dyDescent="0.2">
      <c r="B828" s="62">
        <v>41542</v>
      </c>
      <c r="C828" s="72">
        <v>32.505000000000003</v>
      </c>
      <c r="D828" s="71">
        <v>28826100</v>
      </c>
      <c r="E828" s="66" t="s">
        <v>81</v>
      </c>
      <c r="F828" s="16">
        <f t="shared" si="18"/>
        <v>185</v>
      </c>
      <c r="G828" s="67" cm="1">
        <f t="array" ref="G828">INDEX($B$5:$B$1012, F828)</f>
        <v>42471</v>
      </c>
      <c r="H828" s="69" cm="1">
        <f t="array" ref="H828">INDEX($C$5:$C$1012, F828)</f>
        <v>54.31</v>
      </c>
      <c r="I828" s="70" cm="1">
        <f t="array" ref="I828">INDEX($D$5:$D$1012, F828)</f>
        <v>21400400</v>
      </c>
    </row>
    <row r="829" spans="2:9" x14ac:dyDescent="0.2">
      <c r="B829" s="62">
        <v>41541</v>
      </c>
      <c r="C829" s="72">
        <v>32.454999999999998</v>
      </c>
      <c r="D829" s="71">
        <v>40159010</v>
      </c>
      <c r="E829" s="66" t="s">
        <v>81</v>
      </c>
      <c r="F829" s="16">
        <f t="shared" si="18"/>
        <v>184</v>
      </c>
      <c r="G829" s="67" cm="1">
        <f t="array" ref="G829">INDEX($B$5:$B$1012, F829)</f>
        <v>42472</v>
      </c>
      <c r="H829" s="69" cm="1">
        <f t="array" ref="H829">INDEX($C$5:$C$1012, F829)</f>
        <v>54.65</v>
      </c>
      <c r="I829" s="70" cm="1">
        <f t="array" ref="I829">INDEX($D$5:$D$1012, F829)</f>
        <v>24874410</v>
      </c>
    </row>
    <row r="830" spans="2:9" x14ac:dyDescent="0.2">
      <c r="B830" s="62">
        <v>41540</v>
      </c>
      <c r="C830" s="72">
        <v>32.74</v>
      </c>
      <c r="D830" s="71">
        <v>39826060</v>
      </c>
      <c r="E830" s="66" t="s">
        <v>81</v>
      </c>
      <c r="F830" s="16">
        <f t="shared" si="18"/>
        <v>183</v>
      </c>
      <c r="G830" s="67" cm="1">
        <f t="array" ref="G830">INDEX($B$5:$B$1012, F830)</f>
        <v>42473</v>
      </c>
      <c r="H830" s="69" cm="1">
        <f t="array" ref="H830">INDEX($C$5:$C$1012, F830)</f>
        <v>55.35</v>
      </c>
      <c r="I830" s="70" cm="1">
        <f t="array" ref="I830">INDEX($D$5:$D$1012, F830)</f>
        <v>20813640</v>
      </c>
    </row>
    <row r="831" spans="2:9" x14ac:dyDescent="0.2">
      <c r="B831" s="62">
        <v>41537</v>
      </c>
      <c r="C831" s="72">
        <v>32.790999999999997</v>
      </c>
      <c r="D831" s="71">
        <v>102578800</v>
      </c>
      <c r="E831" s="66" t="s">
        <v>81</v>
      </c>
      <c r="F831" s="16">
        <f t="shared" si="18"/>
        <v>182</v>
      </c>
      <c r="G831" s="67" cm="1">
        <f t="array" ref="G831">INDEX($B$5:$B$1012, F831)</f>
        <v>42474</v>
      </c>
      <c r="H831" s="69" cm="1">
        <f t="array" ref="H831">INDEX($C$5:$C$1012, F831)</f>
        <v>55.36</v>
      </c>
      <c r="I831" s="70" cm="1">
        <f t="array" ref="I831">INDEX($D$5:$D$1012, F831)</f>
        <v>20875260</v>
      </c>
    </row>
    <row r="832" spans="2:9" x14ac:dyDescent="0.2">
      <c r="B832" s="62">
        <v>41536</v>
      </c>
      <c r="C832" s="72">
        <v>33.64</v>
      </c>
      <c r="D832" s="71">
        <v>41981700</v>
      </c>
      <c r="E832" s="66" t="s">
        <v>81</v>
      </c>
      <c r="F832" s="16">
        <f t="shared" si="18"/>
        <v>181</v>
      </c>
      <c r="G832" s="67" cm="1">
        <f t="array" ref="G832">INDEX($B$5:$B$1012, F832)</f>
        <v>42475</v>
      </c>
      <c r="H832" s="69" cm="1">
        <f t="array" ref="H832">INDEX($C$5:$C$1012, F832)</f>
        <v>55.65</v>
      </c>
      <c r="I832" s="70" cm="1">
        <f t="array" ref="I832">INDEX($D$5:$D$1012, F832)</f>
        <v>28462970</v>
      </c>
    </row>
    <row r="833" spans="2:9" x14ac:dyDescent="0.2">
      <c r="B833" s="62">
        <v>41535</v>
      </c>
      <c r="C833" s="72">
        <v>33.32</v>
      </c>
      <c r="D833" s="71">
        <v>64024200</v>
      </c>
      <c r="E833" s="66" t="s">
        <v>81</v>
      </c>
      <c r="F833" s="16">
        <f t="shared" si="18"/>
        <v>180</v>
      </c>
      <c r="G833" s="67" cm="1">
        <f t="array" ref="G833">INDEX($B$5:$B$1012, F833)</f>
        <v>42478</v>
      </c>
      <c r="H833" s="69" cm="1">
        <f t="array" ref="H833">INDEX($C$5:$C$1012, F833)</f>
        <v>56.46</v>
      </c>
      <c r="I833" s="70" cm="1">
        <f t="array" ref="I833">INDEX($D$5:$D$1012, F833)</f>
        <v>23758570</v>
      </c>
    </row>
    <row r="834" spans="2:9" x14ac:dyDescent="0.2">
      <c r="B834" s="62">
        <v>41534</v>
      </c>
      <c r="C834" s="72">
        <v>32.93</v>
      </c>
      <c r="D834" s="71">
        <v>84675130</v>
      </c>
      <c r="E834" s="66" t="s">
        <v>81</v>
      </c>
      <c r="F834" s="16">
        <f t="shared" si="18"/>
        <v>179</v>
      </c>
      <c r="G834" s="67" cm="1">
        <f t="array" ref="G834">INDEX($B$5:$B$1012, F834)</f>
        <v>42479</v>
      </c>
      <c r="H834" s="69" cm="1">
        <f t="array" ref="H834">INDEX($C$5:$C$1012, F834)</f>
        <v>56.39</v>
      </c>
      <c r="I834" s="70" cm="1">
        <f t="array" ref="I834">INDEX($D$5:$D$1012, F834)</f>
        <v>29566220</v>
      </c>
    </row>
    <row r="835" spans="2:9" x14ac:dyDescent="0.2">
      <c r="B835" s="62">
        <v>41533</v>
      </c>
      <c r="C835" s="72">
        <v>32.801000000000002</v>
      </c>
      <c r="D835" s="71">
        <v>55008820</v>
      </c>
      <c r="E835" s="66" t="s">
        <v>81</v>
      </c>
      <c r="F835" s="16">
        <f t="shared" si="18"/>
        <v>178</v>
      </c>
      <c r="G835" s="67" cm="1">
        <f t="array" ref="G835">INDEX($B$5:$B$1012, F835)</f>
        <v>42480</v>
      </c>
      <c r="H835" s="69" cm="1">
        <f t="array" ref="H835">INDEX($C$5:$C$1012, F835)</f>
        <v>55.59</v>
      </c>
      <c r="I835" s="70" cm="1">
        <f t="array" ref="I835">INDEX($D$5:$D$1012, F835)</f>
        <v>36169280</v>
      </c>
    </row>
    <row r="836" spans="2:9" x14ac:dyDescent="0.2">
      <c r="B836" s="62">
        <v>41530</v>
      </c>
      <c r="C836" s="72">
        <v>33.03</v>
      </c>
      <c r="D836" s="71">
        <v>40896510</v>
      </c>
      <c r="E836" s="66" t="s">
        <v>81</v>
      </c>
      <c r="F836" s="16">
        <f t="shared" si="18"/>
        <v>177</v>
      </c>
      <c r="G836" s="67" cm="1">
        <f t="array" ref="G836">INDEX($B$5:$B$1012, F836)</f>
        <v>42481</v>
      </c>
      <c r="H836" s="69" cm="1">
        <f t="array" ref="H836">INDEX($C$5:$C$1012, F836)</f>
        <v>55.78</v>
      </c>
      <c r="I836" s="70" cm="1">
        <f t="array" ref="I836">INDEX($D$5:$D$1012, F836)</f>
        <v>38182900</v>
      </c>
    </row>
    <row r="837" spans="2:9" x14ac:dyDescent="0.2">
      <c r="B837" s="62">
        <v>41529</v>
      </c>
      <c r="C837" s="72">
        <v>32.69</v>
      </c>
      <c r="D837" s="71">
        <v>32860200</v>
      </c>
      <c r="E837" s="66" t="s">
        <v>81</v>
      </c>
      <c r="F837" s="16">
        <f t="shared" si="18"/>
        <v>176</v>
      </c>
      <c r="G837" s="67" cm="1">
        <f t="array" ref="G837">INDEX($B$5:$B$1012, F837)</f>
        <v>42482</v>
      </c>
      <c r="H837" s="69" cm="1">
        <f t="array" ref="H837">INDEX($C$5:$C$1012, F837)</f>
        <v>51.78</v>
      </c>
      <c r="I837" s="70" cm="1">
        <f t="array" ref="I837">INDEX($D$5:$D$1012, F837)</f>
        <v>126793100</v>
      </c>
    </row>
    <row r="838" spans="2:9" x14ac:dyDescent="0.2">
      <c r="B838" s="62">
        <v>41528</v>
      </c>
      <c r="C838" s="72">
        <v>32.74</v>
      </c>
      <c r="D838" s="71">
        <v>39067010</v>
      </c>
      <c r="E838" s="66" t="s">
        <v>81</v>
      </c>
      <c r="F838" s="16">
        <f t="shared" ref="F838:F901" si="19">COUNT(B838:B1845)</f>
        <v>175</v>
      </c>
      <c r="G838" s="67" cm="1">
        <f t="array" ref="G838">INDEX($B$5:$B$1012, F838)</f>
        <v>42485</v>
      </c>
      <c r="H838" s="69" cm="1">
        <f t="array" ref="H838">INDEX($C$5:$C$1012, F838)</f>
        <v>52.11</v>
      </c>
      <c r="I838" s="70" cm="1">
        <f t="array" ref="I838">INDEX($D$5:$D$1012, F838)</f>
        <v>33124870</v>
      </c>
    </row>
    <row r="839" spans="2:9" x14ac:dyDescent="0.2">
      <c r="B839" s="62">
        <v>41527</v>
      </c>
      <c r="C839" s="72">
        <v>32.39</v>
      </c>
      <c r="D839" s="71">
        <v>56878660</v>
      </c>
      <c r="E839" s="66" t="s">
        <v>81</v>
      </c>
      <c r="F839" s="16">
        <f t="shared" si="19"/>
        <v>174</v>
      </c>
      <c r="G839" s="67" cm="1">
        <f t="array" ref="G839">INDEX($B$5:$B$1012, F839)</f>
        <v>42486</v>
      </c>
      <c r="H839" s="69" cm="1">
        <f t="array" ref="H839">INDEX($C$5:$C$1012, F839)</f>
        <v>51.44</v>
      </c>
      <c r="I839" s="70" cm="1">
        <f t="array" ref="I839">INDEX($D$5:$D$1012, F839)</f>
        <v>33513780</v>
      </c>
    </row>
    <row r="840" spans="2:9" x14ac:dyDescent="0.2">
      <c r="B840" s="62">
        <v>41526</v>
      </c>
      <c r="C840" s="72">
        <v>31.655000000000001</v>
      </c>
      <c r="D840" s="71">
        <v>49271550</v>
      </c>
      <c r="E840" s="66" t="s">
        <v>81</v>
      </c>
      <c r="F840" s="16">
        <f t="shared" si="19"/>
        <v>173</v>
      </c>
      <c r="G840" s="67" cm="1">
        <f t="array" ref="G840">INDEX($B$5:$B$1012, F840)</f>
        <v>42487</v>
      </c>
      <c r="H840" s="69" cm="1">
        <f t="array" ref="H840">INDEX($C$5:$C$1012, F840)</f>
        <v>50.94</v>
      </c>
      <c r="I840" s="70" cm="1">
        <f t="array" ref="I840">INDEX($D$5:$D$1012, F840)</f>
        <v>43301480</v>
      </c>
    </row>
    <row r="841" spans="2:9" x14ac:dyDescent="0.2">
      <c r="B841" s="62">
        <v>41523</v>
      </c>
      <c r="C841" s="72">
        <v>31.152000000000001</v>
      </c>
      <c r="D841" s="71">
        <v>75434880</v>
      </c>
      <c r="E841" s="66" t="s">
        <v>81</v>
      </c>
      <c r="F841" s="16">
        <f t="shared" si="19"/>
        <v>172</v>
      </c>
      <c r="G841" s="67" cm="1">
        <f t="array" ref="G841">INDEX($B$5:$B$1012, F841)</f>
        <v>42488</v>
      </c>
      <c r="H841" s="69" cm="1">
        <f t="array" ref="H841">INDEX($C$5:$C$1012, F841)</f>
        <v>49.9</v>
      </c>
      <c r="I841" s="70" cm="1">
        <f t="array" ref="I841">INDEX($D$5:$D$1012, F841)</f>
        <v>43108350</v>
      </c>
    </row>
    <row r="842" spans="2:9" x14ac:dyDescent="0.2">
      <c r="B842" s="62">
        <v>41522</v>
      </c>
      <c r="C842" s="72">
        <v>31.234999999999999</v>
      </c>
      <c r="D842" s="71">
        <v>71611720</v>
      </c>
      <c r="E842" s="66" t="s">
        <v>81</v>
      </c>
      <c r="F842" s="16">
        <f t="shared" si="19"/>
        <v>171</v>
      </c>
      <c r="G842" s="67" cm="1">
        <f t="array" ref="G842">INDEX($B$5:$B$1012, F842)</f>
        <v>42489</v>
      </c>
      <c r="H842" s="69" cm="1">
        <f t="array" ref="H842">INDEX($C$5:$C$1012, F842)</f>
        <v>49.87</v>
      </c>
      <c r="I842" s="70" cm="1">
        <f t="array" ref="I842">INDEX($D$5:$D$1012, F842)</f>
        <v>48391580</v>
      </c>
    </row>
    <row r="843" spans="2:9" x14ac:dyDescent="0.2">
      <c r="B843" s="62">
        <v>41521</v>
      </c>
      <c r="C843" s="72">
        <v>31.195</v>
      </c>
      <c r="D843" s="71">
        <v>142256200</v>
      </c>
      <c r="E843" s="66" t="s">
        <v>81</v>
      </c>
      <c r="F843" s="16">
        <f t="shared" si="19"/>
        <v>170</v>
      </c>
      <c r="G843" s="67" cm="1">
        <f t="array" ref="G843">INDEX($B$5:$B$1012, F843)</f>
        <v>42492</v>
      </c>
      <c r="H843" s="69" cm="1">
        <f t="array" ref="H843">INDEX($C$5:$C$1012, F843)</f>
        <v>50.61</v>
      </c>
      <c r="I843" s="70" cm="1">
        <f t="array" ref="I843">INDEX($D$5:$D$1012, F843)</f>
        <v>33105170</v>
      </c>
    </row>
    <row r="844" spans="2:9" x14ac:dyDescent="0.2">
      <c r="B844" s="62">
        <v>41520</v>
      </c>
      <c r="C844" s="72">
        <v>31.88</v>
      </c>
      <c r="D844" s="71">
        <v>154487200</v>
      </c>
      <c r="E844" s="66" t="s">
        <v>81</v>
      </c>
      <c r="F844" s="16">
        <f t="shared" si="19"/>
        <v>169</v>
      </c>
      <c r="G844" s="67" cm="1">
        <f t="array" ref="G844">INDEX($B$5:$B$1012, F844)</f>
        <v>42493</v>
      </c>
      <c r="H844" s="69" cm="1">
        <f t="array" ref="H844">INDEX($C$5:$C$1012, F844)</f>
        <v>49.78</v>
      </c>
      <c r="I844" s="70" cm="1">
        <f t="array" ref="I844">INDEX($D$5:$D$1012, F844)</f>
        <v>26445230</v>
      </c>
    </row>
    <row r="845" spans="2:9" x14ac:dyDescent="0.2">
      <c r="B845" s="62">
        <v>41516</v>
      </c>
      <c r="C845" s="72">
        <v>33.4</v>
      </c>
      <c r="D845" s="71">
        <v>42722590</v>
      </c>
      <c r="E845" s="66" t="s">
        <v>81</v>
      </c>
      <c r="F845" s="16">
        <f t="shared" si="19"/>
        <v>168</v>
      </c>
      <c r="G845" s="67" cm="1">
        <f t="array" ref="G845">INDEX($B$5:$B$1012, F845)</f>
        <v>42494</v>
      </c>
      <c r="H845" s="69" cm="1">
        <f t="array" ref="H845">INDEX($C$5:$C$1012, F845)</f>
        <v>49.87</v>
      </c>
      <c r="I845" s="70" cm="1">
        <f t="array" ref="I845">INDEX($D$5:$D$1012, F845)</f>
        <v>24249670</v>
      </c>
    </row>
    <row r="846" spans="2:9" x14ac:dyDescent="0.2">
      <c r="B846" s="62">
        <v>41515</v>
      </c>
      <c r="C846" s="72">
        <v>33.549999999999997</v>
      </c>
      <c r="D846" s="71">
        <v>45080100</v>
      </c>
      <c r="E846" s="66" t="s">
        <v>81</v>
      </c>
      <c r="F846" s="16">
        <f t="shared" si="19"/>
        <v>167</v>
      </c>
      <c r="G846" s="67" cm="1">
        <f t="array" ref="G846">INDEX($B$5:$B$1012, F846)</f>
        <v>42495</v>
      </c>
      <c r="H846" s="69" cm="1">
        <f t="array" ref="H846">INDEX($C$5:$C$1012, F846)</f>
        <v>49.94</v>
      </c>
      <c r="I846" s="70" cm="1">
        <f t="array" ref="I846">INDEX($D$5:$D$1012, F846)</f>
        <v>25386690</v>
      </c>
    </row>
    <row r="847" spans="2:9" x14ac:dyDescent="0.2">
      <c r="B847" s="62">
        <v>41514</v>
      </c>
      <c r="C847" s="72">
        <v>33.020000000000003</v>
      </c>
      <c r="D847" s="71">
        <v>44257220</v>
      </c>
      <c r="E847" s="66" t="s">
        <v>81</v>
      </c>
      <c r="F847" s="16">
        <f t="shared" si="19"/>
        <v>166</v>
      </c>
      <c r="G847" s="67" cm="1">
        <f t="array" ref="G847">INDEX($B$5:$B$1012, F847)</f>
        <v>42496</v>
      </c>
      <c r="H847" s="69" cm="1">
        <f t="array" ref="H847">INDEX($C$5:$C$1012, F847)</f>
        <v>50.39</v>
      </c>
      <c r="I847" s="70" cm="1">
        <f t="array" ref="I847">INDEX($D$5:$D$1012, F847)</f>
        <v>24772020</v>
      </c>
    </row>
    <row r="848" spans="2:9" x14ac:dyDescent="0.2">
      <c r="B848" s="62">
        <v>41513</v>
      </c>
      <c r="C848" s="72">
        <v>33.26</v>
      </c>
      <c r="D848" s="71">
        <v>58516170</v>
      </c>
      <c r="E848" s="66" t="s">
        <v>81</v>
      </c>
      <c r="F848" s="16">
        <f t="shared" si="19"/>
        <v>165</v>
      </c>
      <c r="G848" s="67" cm="1">
        <f t="array" ref="G848">INDEX($B$5:$B$1012, F848)</f>
        <v>42499</v>
      </c>
      <c r="H848" s="69" cm="1">
        <f t="array" ref="H848">INDEX($C$5:$C$1012, F848)</f>
        <v>50.07</v>
      </c>
      <c r="I848" s="70" cm="1">
        <f t="array" ref="I848">INDEX($D$5:$D$1012, F848)</f>
        <v>17883360</v>
      </c>
    </row>
    <row r="849" spans="2:9" x14ac:dyDescent="0.2">
      <c r="B849" s="62">
        <v>41512</v>
      </c>
      <c r="C849" s="72">
        <v>34.15</v>
      </c>
      <c r="D849" s="71">
        <v>72552110</v>
      </c>
      <c r="E849" s="66" t="s">
        <v>81</v>
      </c>
      <c r="F849" s="16">
        <f t="shared" si="19"/>
        <v>164</v>
      </c>
      <c r="G849" s="67" cm="1">
        <f t="array" ref="G849">INDEX($B$5:$B$1012, F849)</f>
        <v>42500</v>
      </c>
      <c r="H849" s="69" cm="1">
        <f t="array" ref="H849">INDEX($C$5:$C$1012, F849)</f>
        <v>51.02</v>
      </c>
      <c r="I849" s="70" cm="1">
        <f t="array" ref="I849">INDEX($D$5:$D$1012, F849)</f>
        <v>22871860</v>
      </c>
    </row>
    <row r="850" spans="2:9" x14ac:dyDescent="0.2">
      <c r="B850" s="62">
        <v>41509</v>
      </c>
      <c r="C850" s="72">
        <v>34.75</v>
      </c>
      <c r="D850" s="71">
        <v>225411400</v>
      </c>
      <c r="E850" s="66" t="s">
        <v>81</v>
      </c>
      <c r="F850" s="16">
        <f t="shared" si="19"/>
        <v>163</v>
      </c>
      <c r="G850" s="67" cm="1">
        <f t="array" ref="G850">INDEX($B$5:$B$1012, F850)</f>
        <v>42501</v>
      </c>
      <c r="H850" s="69" cm="1">
        <f t="array" ref="H850">INDEX($C$5:$C$1012, F850)</f>
        <v>51.05</v>
      </c>
      <c r="I850" s="70" cm="1">
        <f t="array" ref="I850">INDEX($D$5:$D$1012, F850)</f>
        <v>24026140</v>
      </c>
    </row>
    <row r="851" spans="2:9" x14ac:dyDescent="0.2">
      <c r="B851" s="62">
        <v>41508</v>
      </c>
      <c r="C851" s="72">
        <v>32.39</v>
      </c>
      <c r="D851" s="71">
        <v>31119740</v>
      </c>
      <c r="E851" s="66" t="s">
        <v>81</v>
      </c>
      <c r="F851" s="16">
        <f t="shared" si="19"/>
        <v>162</v>
      </c>
      <c r="G851" s="67" cm="1">
        <f t="array" ref="G851">INDEX($B$5:$B$1012, F851)</f>
        <v>42502</v>
      </c>
      <c r="H851" s="69" cm="1">
        <f t="array" ref="H851">INDEX($C$5:$C$1012, F851)</f>
        <v>51.51</v>
      </c>
      <c r="I851" s="70" cm="1">
        <f t="array" ref="I851">INDEX($D$5:$D$1012, F851)</f>
        <v>24101640</v>
      </c>
    </row>
    <row r="852" spans="2:9" x14ac:dyDescent="0.2">
      <c r="B852" s="62">
        <v>41507</v>
      </c>
      <c r="C852" s="72">
        <v>31.61</v>
      </c>
      <c r="D852" s="71">
        <v>37397450</v>
      </c>
      <c r="E852" s="66" t="s">
        <v>81</v>
      </c>
      <c r="F852" s="16">
        <f t="shared" si="19"/>
        <v>161</v>
      </c>
      <c r="G852" s="67" cm="1">
        <f t="array" ref="G852">INDEX($B$5:$B$1012, F852)</f>
        <v>42503</v>
      </c>
      <c r="H852" s="69" cm="1">
        <f t="array" ref="H852">INDEX($C$5:$C$1012, F852)</f>
        <v>51.08</v>
      </c>
      <c r="I852" s="70" cm="1">
        <f t="array" ref="I852">INDEX($D$5:$D$1012, F852)</f>
        <v>22439560</v>
      </c>
    </row>
    <row r="853" spans="2:9" x14ac:dyDescent="0.2">
      <c r="B853" s="62">
        <v>41506</v>
      </c>
      <c r="C853" s="72">
        <v>31.62</v>
      </c>
      <c r="D853" s="71">
        <v>22979510</v>
      </c>
      <c r="E853" s="66" t="s">
        <v>81</v>
      </c>
      <c r="F853" s="16">
        <f t="shared" si="19"/>
        <v>160</v>
      </c>
      <c r="G853" s="67" cm="1">
        <f t="array" ref="G853">INDEX($B$5:$B$1012, F853)</f>
        <v>42506</v>
      </c>
      <c r="H853" s="69" cm="1">
        <f t="array" ref="H853">INDEX($C$5:$C$1012, F853)</f>
        <v>51.83</v>
      </c>
      <c r="I853" s="70" cm="1">
        <f t="array" ref="I853">INDEX($D$5:$D$1012, F853)</f>
        <v>19962750</v>
      </c>
    </row>
    <row r="854" spans="2:9" x14ac:dyDescent="0.2">
      <c r="B854" s="62">
        <v>41505</v>
      </c>
      <c r="C854" s="72">
        <v>31.393000000000001</v>
      </c>
      <c r="D854" s="71">
        <v>27902290</v>
      </c>
      <c r="E854" s="66" t="s">
        <v>81</v>
      </c>
      <c r="F854" s="16">
        <f t="shared" si="19"/>
        <v>159</v>
      </c>
      <c r="G854" s="67" cm="1">
        <f t="array" ref="G854">INDEX($B$5:$B$1012, F854)</f>
        <v>42507</v>
      </c>
      <c r="H854" s="69" cm="1">
        <f t="array" ref="H854">INDEX($C$5:$C$1012, F854)</f>
        <v>50.51</v>
      </c>
      <c r="I854" s="70" cm="1">
        <f t="array" ref="I854">INDEX($D$5:$D$1012, F854)</f>
        <v>27790370</v>
      </c>
    </row>
    <row r="855" spans="2:9" x14ac:dyDescent="0.2">
      <c r="B855" s="62">
        <v>41502</v>
      </c>
      <c r="C855" s="72">
        <v>31.8</v>
      </c>
      <c r="D855" s="71">
        <v>32589950</v>
      </c>
      <c r="E855" s="66" t="s">
        <v>81</v>
      </c>
      <c r="F855" s="16">
        <f t="shared" si="19"/>
        <v>158</v>
      </c>
      <c r="G855" s="67" cm="1">
        <f t="array" ref="G855">INDEX($B$5:$B$1012, F855)</f>
        <v>42508</v>
      </c>
      <c r="H855" s="69" cm="1">
        <f t="array" ref="H855">INDEX($C$5:$C$1012, F855)</f>
        <v>50.81</v>
      </c>
      <c r="I855" s="70" cm="1">
        <f t="array" ref="I855">INDEX($D$5:$D$1012, F855)</f>
        <v>24861480</v>
      </c>
    </row>
    <row r="856" spans="2:9" x14ac:dyDescent="0.2">
      <c r="B856" s="62">
        <v>41501</v>
      </c>
      <c r="C856" s="72">
        <v>31.79</v>
      </c>
      <c r="D856" s="71">
        <v>33166990</v>
      </c>
      <c r="E856" s="66" t="s">
        <v>81</v>
      </c>
      <c r="F856" s="16">
        <f t="shared" si="19"/>
        <v>157</v>
      </c>
      <c r="G856" s="67" cm="1">
        <f t="array" ref="G856">INDEX($B$5:$B$1012, F856)</f>
        <v>42509</v>
      </c>
      <c r="H856" s="69" cm="1">
        <f t="array" ref="H856">INDEX($C$5:$C$1012, F856)</f>
        <v>50.32</v>
      </c>
      <c r="I856" s="70" cm="1">
        <f t="array" ref="I856">INDEX($D$5:$D$1012, F856)</f>
        <v>23784750</v>
      </c>
    </row>
    <row r="857" spans="2:9" x14ac:dyDescent="0.2">
      <c r="B857" s="62">
        <v>41500</v>
      </c>
      <c r="C857" s="72">
        <v>32.35</v>
      </c>
      <c r="D857" s="71">
        <v>48518150</v>
      </c>
      <c r="E857" s="66" t="s">
        <v>81</v>
      </c>
      <c r="F857" s="16">
        <f t="shared" si="19"/>
        <v>156</v>
      </c>
      <c r="G857" s="67" cm="1">
        <f t="array" ref="G857">INDEX($B$5:$B$1012, F857)</f>
        <v>42510</v>
      </c>
      <c r="H857" s="69" cm="1">
        <f t="array" ref="H857">INDEX($C$5:$C$1012, F857)</f>
        <v>50.62</v>
      </c>
      <c r="I857" s="70" cm="1">
        <f t="array" ref="I857">INDEX($D$5:$D$1012, F857)</f>
        <v>23770620</v>
      </c>
    </row>
    <row r="858" spans="2:9" x14ac:dyDescent="0.2">
      <c r="B858" s="62">
        <v>41499</v>
      </c>
      <c r="C858" s="72">
        <v>32.229999999999997</v>
      </c>
      <c r="D858" s="71">
        <v>39464100</v>
      </c>
      <c r="E858" s="66" t="s">
        <v>81</v>
      </c>
      <c r="F858" s="16">
        <f t="shared" si="19"/>
        <v>155</v>
      </c>
      <c r="G858" s="67" cm="1">
        <f t="array" ref="G858">INDEX($B$5:$B$1012, F858)</f>
        <v>42513</v>
      </c>
      <c r="H858" s="69" cm="1">
        <f t="array" ref="H858">INDEX($C$5:$C$1012, F858)</f>
        <v>50.03</v>
      </c>
      <c r="I858" s="70" cm="1">
        <f t="array" ref="I858">INDEX($D$5:$D$1012, F858)</f>
        <v>26110160</v>
      </c>
    </row>
    <row r="859" spans="2:9" x14ac:dyDescent="0.2">
      <c r="B859" s="62">
        <v>41498</v>
      </c>
      <c r="C859" s="72">
        <v>32.869999999999997</v>
      </c>
      <c r="D859" s="71">
        <v>25493740</v>
      </c>
      <c r="E859" s="66" t="s">
        <v>81</v>
      </c>
      <c r="F859" s="16">
        <f t="shared" si="19"/>
        <v>154</v>
      </c>
      <c r="G859" s="67" cm="1">
        <f t="array" ref="G859">INDEX($B$5:$B$1012, F859)</f>
        <v>42514</v>
      </c>
      <c r="H859" s="69" cm="1">
        <f t="array" ref="H859">INDEX($C$5:$C$1012, F859)</f>
        <v>51.59</v>
      </c>
      <c r="I859" s="70" cm="1">
        <f t="array" ref="I859">INDEX($D$5:$D$1012, F859)</f>
        <v>34726410</v>
      </c>
    </row>
    <row r="860" spans="2:9" x14ac:dyDescent="0.2">
      <c r="B860" s="62">
        <v>41495</v>
      </c>
      <c r="C860" s="72">
        <v>32.700000000000003</v>
      </c>
      <c r="D860" s="71">
        <v>26800100</v>
      </c>
      <c r="E860" s="66" t="s">
        <v>81</v>
      </c>
      <c r="F860" s="16">
        <f t="shared" si="19"/>
        <v>153</v>
      </c>
      <c r="G860" s="67" cm="1">
        <f t="array" ref="G860">INDEX($B$5:$B$1012, F860)</f>
        <v>42515</v>
      </c>
      <c r="H860" s="69" cm="1">
        <f t="array" ref="H860">INDEX($C$5:$C$1012, F860)</f>
        <v>52.12</v>
      </c>
      <c r="I860" s="70" cm="1">
        <f t="array" ref="I860">INDEX($D$5:$D$1012, F860)</f>
        <v>24176970</v>
      </c>
    </row>
    <row r="861" spans="2:9" x14ac:dyDescent="0.2">
      <c r="B861" s="62">
        <v>41494</v>
      </c>
      <c r="C861" s="72">
        <v>32.89</v>
      </c>
      <c r="D861" s="71">
        <v>59033540</v>
      </c>
      <c r="E861" s="66" t="s">
        <v>81</v>
      </c>
      <c r="F861" s="16">
        <f t="shared" si="19"/>
        <v>152</v>
      </c>
      <c r="G861" s="67" cm="1">
        <f t="array" ref="G861">INDEX($B$5:$B$1012, F861)</f>
        <v>42516</v>
      </c>
      <c r="H861" s="69" cm="1">
        <f t="array" ref="H861">INDEX($C$5:$C$1012, F861)</f>
        <v>51.89</v>
      </c>
      <c r="I861" s="70" cm="1">
        <f t="array" ref="I861">INDEX($D$5:$D$1012, F861)</f>
        <v>24308620</v>
      </c>
    </row>
    <row r="862" spans="2:9" x14ac:dyDescent="0.2">
      <c r="B862" s="62">
        <v>41493</v>
      </c>
      <c r="C862" s="72">
        <v>32.063000000000002</v>
      </c>
      <c r="D862" s="71">
        <v>38043190</v>
      </c>
      <c r="E862" s="66" t="s">
        <v>81</v>
      </c>
      <c r="F862" s="16">
        <f t="shared" si="19"/>
        <v>151</v>
      </c>
      <c r="G862" s="67" cm="1">
        <f t="array" ref="G862">INDEX($B$5:$B$1012, F862)</f>
        <v>42517</v>
      </c>
      <c r="H862" s="69" cm="1">
        <f t="array" ref="H862">INDEX($C$5:$C$1012, F862)</f>
        <v>52.32</v>
      </c>
      <c r="I862" s="70" cm="1">
        <f t="array" ref="I862">INDEX($D$5:$D$1012, F862)</f>
        <v>17671620</v>
      </c>
    </row>
    <row r="863" spans="2:9" x14ac:dyDescent="0.2">
      <c r="B863" s="62">
        <v>41492</v>
      </c>
      <c r="C863" s="72">
        <v>31.58</v>
      </c>
      <c r="D863" s="71">
        <v>36311950</v>
      </c>
      <c r="E863" s="66" t="s">
        <v>81</v>
      </c>
      <c r="F863" s="16">
        <f t="shared" si="19"/>
        <v>150</v>
      </c>
      <c r="G863" s="67" cm="1">
        <f t="array" ref="G863">INDEX($B$5:$B$1012, F863)</f>
        <v>42521</v>
      </c>
      <c r="H863" s="69" cm="1">
        <f t="array" ref="H863">INDEX($C$5:$C$1012, F863)</f>
        <v>53</v>
      </c>
      <c r="I863" s="70" cm="1">
        <f t="array" ref="I863">INDEX($D$5:$D$1012, F863)</f>
        <v>37461550</v>
      </c>
    </row>
    <row r="864" spans="2:9" x14ac:dyDescent="0.2">
      <c r="B864" s="62">
        <v>41491</v>
      </c>
      <c r="C864" s="72">
        <v>31.7</v>
      </c>
      <c r="D864" s="71">
        <v>30983420</v>
      </c>
      <c r="E864" s="66" t="s">
        <v>81</v>
      </c>
      <c r="F864" s="16">
        <f t="shared" si="19"/>
        <v>149</v>
      </c>
      <c r="G864" s="67" cm="1">
        <f t="array" ref="G864">INDEX($B$5:$B$1012, F864)</f>
        <v>42522</v>
      </c>
      <c r="H864" s="69" cm="1">
        <f t="array" ref="H864">INDEX($C$5:$C$1012, F864)</f>
        <v>52.85</v>
      </c>
      <c r="I864" s="70" cm="1">
        <f t="array" ref="I864">INDEX($D$5:$D$1012, F864)</f>
        <v>25104350</v>
      </c>
    </row>
    <row r="865" spans="2:9" x14ac:dyDescent="0.2">
      <c r="B865" s="62">
        <v>41488</v>
      </c>
      <c r="C865" s="72">
        <v>31.89</v>
      </c>
      <c r="D865" s="71">
        <v>29120110</v>
      </c>
      <c r="E865" s="66" t="s">
        <v>81</v>
      </c>
      <c r="F865" s="16">
        <f t="shared" si="19"/>
        <v>148</v>
      </c>
      <c r="G865" s="67" cm="1">
        <f t="array" ref="G865">INDEX($B$5:$B$1012, F865)</f>
        <v>42523</v>
      </c>
      <c r="H865" s="69" cm="1">
        <f t="array" ref="H865">INDEX($C$5:$C$1012, F865)</f>
        <v>52.48</v>
      </c>
      <c r="I865" s="70" cm="1">
        <f t="array" ref="I865">INDEX($D$5:$D$1012, F865)</f>
        <v>22682220</v>
      </c>
    </row>
    <row r="866" spans="2:9" x14ac:dyDescent="0.2">
      <c r="B866" s="62">
        <v>41487</v>
      </c>
      <c r="C866" s="72">
        <v>31.67</v>
      </c>
      <c r="D866" s="71">
        <v>42499400</v>
      </c>
      <c r="E866" s="66" t="s">
        <v>81</v>
      </c>
      <c r="F866" s="16">
        <f t="shared" si="19"/>
        <v>147</v>
      </c>
      <c r="G866" s="67" cm="1">
        <f t="array" ref="G866">INDEX($B$5:$B$1012, F866)</f>
        <v>42524</v>
      </c>
      <c r="H866" s="69" cm="1">
        <f t="array" ref="H866">INDEX($C$5:$C$1012, F866)</f>
        <v>51.79</v>
      </c>
      <c r="I866" s="70" cm="1">
        <f t="array" ref="I866">INDEX($D$5:$D$1012, F866)</f>
        <v>23254530</v>
      </c>
    </row>
    <row r="867" spans="2:9" x14ac:dyDescent="0.2">
      <c r="B867" s="62">
        <v>41486</v>
      </c>
      <c r="C867" s="72">
        <v>31.84</v>
      </c>
      <c r="D867" s="71">
        <v>43898440</v>
      </c>
      <c r="E867" s="66" t="s">
        <v>81</v>
      </c>
      <c r="F867" s="16">
        <f t="shared" si="19"/>
        <v>146</v>
      </c>
      <c r="G867" s="67" cm="1">
        <f t="array" ref="G867">INDEX($B$5:$B$1012, F867)</f>
        <v>42527</v>
      </c>
      <c r="H867" s="69" cm="1">
        <f t="array" ref="H867">INDEX($C$5:$C$1012, F867)</f>
        <v>52.13</v>
      </c>
      <c r="I867" s="70" cm="1">
        <f t="array" ref="I867">INDEX($D$5:$D$1012, F867)</f>
        <v>18137760</v>
      </c>
    </row>
    <row r="868" spans="2:9" x14ac:dyDescent="0.2">
      <c r="B868" s="62">
        <v>41485</v>
      </c>
      <c r="C868" s="72">
        <v>31.85</v>
      </c>
      <c r="D868" s="71">
        <v>45799480</v>
      </c>
      <c r="E868" s="66" t="s">
        <v>81</v>
      </c>
      <c r="F868" s="16">
        <f t="shared" si="19"/>
        <v>145</v>
      </c>
      <c r="G868" s="67" cm="1">
        <f t="array" ref="G868">INDEX($B$5:$B$1012, F868)</f>
        <v>42528</v>
      </c>
      <c r="H868" s="69" cm="1">
        <f t="array" ref="H868">INDEX($C$5:$C$1012, F868)</f>
        <v>52.1</v>
      </c>
      <c r="I868" s="70" cm="1">
        <f t="array" ref="I868">INDEX($D$5:$D$1012, F868)</f>
        <v>20798030</v>
      </c>
    </row>
    <row r="869" spans="2:9" x14ac:dyDescent="0.2">
      <c r="B869" s="62">
        <v>41484</v>
      </c>
      <c r="C869" s="72">
        <v>31.54</v>
      </c>
      <c r="D869" s="71">
        <v>28870360</v>
      </c>
      <c r="E869" s="66" t="s">
        <v>81</v>
      </c>
      <c r="F869" s="16">
        <f t="shared" si="19"/>
        <v>144</v>
      </c>
      <c r="G869" s="67" cm="1">
        <f t="array" ref="G869">INDEX($B$5:$B$1012, F869)</f>
        <v>42529</v>
      </c>
      <c r="H869" s="69" cm="1">
        <f t="array" ref="H869">INDEX($C$5:$C$1012, F869)</f>
        <v>52.04</v>
      </c>
      <c r="I869" s="70" cm="1">
        <f t="array" ref="I869">INDEX($D$5:$D$1012, F869)</f>
        <v>21127190</v>
      </c>
    </row>
    <row r="870" spans="2:9" x14ac:dyDescent="0.2">
      <c r="B870" s="62">
        <v>41481</v>
      </c>
      <c r="C870" s="72">
        <v>31.62</v>
      </c>
      <c r="D870" s="71">
        <v>38631450</v>
      </c>
      <c r="E870" s="66" t="s">
        <v>81</v>
      </c>
      <c r="F870" s="16">
        <f t="shared" si="19"/>
        <v>143</v>
      </c>
      <c r="G870" s="67" cm="1">
        <f t="array" ref="G870">INDEX($B$5:$B$1012, F870)</f>
        <v>42530</v>
      </c>
      <c r="H870" s="69" cm="1">
        <f t="array" ref="H870">INDEX($C$5:$C$1012, F870)</f>
        <v>51.62</v>
      </c>
      <c r="I870" s="70" cm="1">
        <f t="array" ref="I870">INDEX($D$5:$D$1012, F870)</f>
        <v>20303990</v>
      </c>
    </row>
    <row r="871" spans="2:9" x14ac:dyDescent="0.2">
      <c r="B871" s="62">
        <v>41480</v>
      </c>
      <c r="C871" s="72">
        <v>31.39</v>
      </c>
      <c r="D871" s="71">
        <v>63206730</v>
      </c>
      <c r="E871" s="66" t="s">
        <v>81</v>
      </c>
      <c r="F871" s="16">
        <f t="shared" si="19"/>
        <v>142</v>
      </c>
      <c r="G871" s="67" cm="1">
        <f t="array" ref="G871">INDEX($B$5:$B$1012, F871)</f>
        <v>42531</v>
      </c>
      <c r="H871" s="69" cm="1">
        <f t="array" ref="H871">INDEX($C$5:$C$1012, F871)</f>
        <v>51.48</v>
      </c>
      <c r="I871" s="70" cm="1">
        <f t="array" ref="I871">INDEX($D$5:$D$1012, F871)</f>
        <v>25833020</v>
      </c>
    </row>
    <row r="872" spans="2:9" x14ac:dyDescent="0.2">
      <c r="B872" s="62">
        <v>41479</v>
      </c>
      <c r="C872" s="72">
        <v>31.96</v>
      </c>
      <c r="D872" s="71">
        <v>52798940</v>
      </c>
      <c r="E872" s="66" t="s">
        <v>81</v>
      </c>
      <c r="F872" s="16">
        <f t="shared" si="19"/>
        <v>141</v>
      </c>
      <c r="G872" s="67" cm="1">
        <f t="array" ref="G872">INDEX($B$5:$B$1012, F872)</f>
        <v>42534</v>
      </c>
      <c r="H872" s="69" cm="1">
        <f t="array" ref="H872">INDEX($C$5:$C$1012, F872)</f>
        <v>50.14</v>
      </c>
      <c r="I872" s="70" cm="1">
        <f t="array" ref="I872">INDEX($D$5:$D$1012, F872)</f>
        <v>83206230</v>
      </c>
    </row>
    <row r="873" spans="2:9" x14ac:dyDescent="0.2">
      <c r="B873" s="62">
        <v>41478</v>
      </c>
      <c r="C873" s="72">
        <v>31.82</v>
      </c>
      <c r="D873" s="71">
        <v>65809130</v>
      </c>
      <c r="E873" s="66" t="s">
        <v>81</v>
      </c>
      <c r="F873" s="16">
        <f t="shared" si="19"/>
        <v>140</v>
      </c>
      <c r="G873" s="67" cm="1">
        <f t="array" ref="G873">INDEX($B$5:$B$1012, F873)</f>
        <v>42535</v>
      </c>
      <c r="H873" s="69" cm="1">
        <f t="array" ref="H873">INDEX($C$5:$C$1012, F873)</f>
        <v>49.83</v>
      </c>
      <c r="I873" s="70" cm="1">
        <f t="array" ref="I873">INDEX($D$5:$D$1012, F873)</f>
        <v>42568290</v>
      </c>
    </row>
    <row r="874" spans="2:9" x14ac:dyDescent="0.2">
      <c r="B874" s="62">
        <v>41477</v>
      </c>
      <c r="C874" s="72">
        <v>32.01</v>
      </c>
      <c r="D874" s="71">
        <v>78966800</v>
      </c>
      <c r="E874" s="66" t="s">
        <v>81</v>
      </c>
      <c r="F874" s="16">
        <f t="shared" si="19"/>
        <v>139</v>
      </c>
      <c r="G874" s="67" cm="1">
        <f t="array" ref="G874">INDEX($B$5:$B$1012, F874)</f>
        <v>42536</v>
      </c>
      <c r="H874" s="69" cm="1">
        <f t="array" ref="H874">INDEX($C$5:$C$1012, F874)</f>
        <v>49.69</v>
      </c>
      <c r="I874" s="70" cm="1">
        <f t="array" ref="I874">INDEX($D$5:$D$1012, F874)</f>
        <v>33718830</v>
      </c>
    </row>
    <row r="875" spans="2:9" x14ac:dyDescent="0.2">
      <c r="B875" s="62">
        <v>41474</v>
      </c>
      <c r="C875" s="72">
        <v>31.4</v>
      </c>
      <c r="D875" s="71">
        <v>247534200</v>
      </c>
      <c r="E875" s="66" t="s">
        <v>81</v>
      </c>
      <c r="F875" s="16">
        <f t="shared" si="19"/>
        <v>138</v>
      </c>
      <c r="G875" s="67" cm="1">
        <f t="array" ref="G875">INDEX($B$5:$B$1012, F875)</f>
        <v>42537</v>
      </c>
      <c r="H875" s="69" cm="1">
        <f t="array" ref="H875">INDEX($C$5:$C$1012, F875)</f>
        <v>50.39</v>
      </c>
      <c r="I875" s="70" cm="1">
        <f t="array" ref="I875">INDEX($D$5:$D$1012, F875)</f>
        <v>31104460</v>
      </c>
    </row>
    <row r="876" spans="2:9" x14ac:dyDescent="0.2">
      <c r="B876" s="62">
        <v>41473</v>
      </c>
      <c r="C876" s="72">
        <v>35.44</v>
      </c>
      <c r="D876" s="71">
        <v>48522740</v>
      </c>
      <c r="E876" s="66" t="s">
        <v>81</v>
      </c>
      <c r="F876" s="16">
        <f t="shared" si="19"/>
        <v>137</v>
      </c>
      <c r="G876" s="67" cm="1">
        <f t="array" ref="G876">INDEX($B$5:$B$1012, F876)</f>
        <v>42538</v>
      </c>
      <c r="H876" s="69" cm="1">
        <f t="array" ref="H876">INDEX($C$5:$C$1012, F876)</f>
        <v>50.13</v>
      </c>
      <c r="I876" s="70" cm="1">
        <f t="array" ref="I876">INDEX($D$5:$D$1012, F876)</f>
        <v>45675100</v>
      </c>
    </row>
    <row r="877" spans="2:9" x14ac:dyDescent="0.2">
      <c r="B877" s="62">
        <v>41472</v>
      </c>
      <c r="C877" s="72">
        <v>35.74</v>
      </c>
      <c r="D877" s="71">
        <v>37280170</v>
      </c>
      <c r="E877" s="66" t="s">
        <v>81</v>
      </c>
      <c r="F877" s="16">
        <f t="shared" si="19"/>
        <v>136</v>
      </c>
      <c r="G877" s="67" cm="1">
        <f t="array" ref="G877">INDEX($B$5:$B$1012, F877)</f>
        <v>42541</v>
      </c>
      <c r="H877" s="69" cm="1">
        <f t="array" ref="H877">INDEX($C$5:$C$1012, F877)</f>
        <v>50.07</v>
      </c>
      <c r="I877" s="70" cm="1">
        <f t="array" ref="I877">INDEX($D$5:$D$1012, F877)</f>
        <v>35597220</v>
      </c>
    </row>
    <row r="878" spans="2:9" x14ac:dyDescent="0.2">
      <c r="B878" s="62">
        <v>41471</v>
      </c>
      <c r="C878" s="72">
        <v>36.270000000000003</v>
      </c>
      <c r="D878" s="71">
        <v>36378100</v>
      </c>
      <c r="E878" s="66" t="s">
        <v>81</v>
      </c>
      <c r="F878" s="16">
        <f t="shared" si="19"/>
        <v>135</v>
      </c>
      <c r="G878" s="67" cm="1">
        <f t="array" ref="G878">INDEX($B$5:$B$1012, F878)</f>
        <v>42542</v>
      </c>
      <c r="H878" s="69" cm="1">
        <f t="array" ref="H878">INDEX($C$5:$C$1012, F878)</f>
        <v>51.19</v>
      </c>
      <c r="I878" s="70" cm="1">
        <f t="array" ref="I878">INDEX($D$5:$D$1012, F878)</f>
        <v>34075570</v>
      </c>
    </row>
    <row r="879" spans="2:9" x14ac:dyDescent="0.2">
      <c r="B879" s="62">
        <v>41470</v>
      </c>
      <c r="C879" s="72">
        <v>36.17</v>
      </c>
      <c r="D879" s="71">
        <v>34137810</v>
      </c>
      <c r="E879" s="66" t="s">
        <v>81</v>
      </c>
      <c r="F879" s="16">
        <f t="shared" si="19"/>
        <v>134</v>
      </c>
      <c r="G879" s="67" cm="1">
        <f t="array" ref="G879">INDEX($B$5:$B$1012, F879)</f>
        <v>42543</v>
      </c>
      <c r="H879" s="69" cm="1">
        <f t="array" ref="H879">INDEX($C$5:$C$1012, F879)</f>
        <v>50.99</v>
      </c>
      <c r="I879" s="70" cm="1">
        <f t="array" ref="I879">INDEX($D$5:$D$1012, F879)</f>
        <v>28801660</v>
      </c>
    </row>
    <row r="880" spans="2:9" x14ac:dyDescent="0.2">
      <c r="B880" s="62">
        <v>41467</v>
      </c>
      <c r="C880" s="72">
        <v>35.67</v>
      </c>
      <c r="D880" s="71">
        <v>35500560</v>
      </c>
      <c r="E880" s="66" t="s">
        <v>81</v>
      </c>
      <c r="F880" s="16">
        <f t="shared" si="19"/>
        <v>133</v>
      </c>
      <c r="G880" s="67" cm="1">
        <f t="array" ref="G880">INDEX($B$5:$B$1012, F880)</f>
        <v>42544</v>
      </c>
      <c r="H880" s="69" cm="1">
        <f t="array" ref="H880">INDEX($C$5:$C$1012, F880)</f>
        <v>51.91</v>
      </c>
      <c r="I880" s="70" cm="1">
        <f t="array" ref="I880">INDEX($D$5:$D$1012, F880)</f>
        <v>28960330</v>
      </c>
    </row>
    <row r="881" spans="2:9" x14ac:dyDescent="0.2">
      <c r="B881" s="62">
        <v>41466</v>
      </c>
      <c r="C881" s="72">
        <v>35.685000000000002</v>
      </c>
      <c r="D881" s="71">
        <v>53608830</v>
      </c>
      <c r="E881" s="66" t="s">
        <v>81</v>
      </c>
      <c r="F881" s="16">
        <f t="shared" si="19"/>
        <v>132</v>
      </c>
      <c r="G881" s="67" cm="1">
        <f t="array" ref="G881">INDEX($B$5:$B$1012, F881)</f>
        <v>42545</v>
      </c>
      <c r="H881" s="69" cm="1">
        <f t="array" ref="H881">INDEX($C$5:$C$1012, F881)</f>
        <v>49.83</v>
      </c>
      <c r="I881" s="70" cm="1">
        <f t="array" ref="I881">INDEX($D$5:$D$1012, F881)</f>
        <v>133456500</v>
      </c>
    </row>
    <row r="882" spans="2:9" x14ac:dyDescent="0.2">
      <c r="B882" s="62">
        <v>41465</v>
      </c>
      <c r="C882" s="72">
        <v>34.700000000000003</v>
      </c>
      <c r="D882" s="71">
        <v>29844420</v>
      </c>
      <c r="E882" s="66" t="s">
        <v>81</v>
      </c>
      <c r="F882" s="16">
        <f t="shared" si="19"/>
        <v>131</v>
      </c>
      <c r="G882" s="67" cm="1">
        <f t="array" ref="G882">INDEX($B$5:$B$1012, F882)</f>
        <v>42548</v>
      </c>
      <c r="H882" s="69" cm="1">
        <f t="array" ref="H882">INDEX($C$5:$C$1012, F882)</f>
        <v>48.43</v>
      </c>
      <c r="I882" s="70" cm="1">
        <f t="array" ref="I882">INDEX($D$5:$D$1012, F882)</f>
        <v>50308070</v>
      </c>
    </row>
    <row r="883" spans="2:9" x14ac:dyDescent="0.2">
      <c r="B883" s="62">
        <v>41464</v>
      </c>
      <c r="C883" s="72">
        <v>34.35</v>
      </c>
      <c r="D883" s="71">
        <v>25318500</v>
      </c>
      <c r="E883" s="66" t="s">
        <v>81</v>
      </c>
      <c r="F883" s="16">
        <f t="shared" si="19"/>
        <v>130</v>
      </c>
      <c r="G883" s="67" cm="1">
        <f t="array" ref="G883">INDEX($B$5:$B$1012, F883)</f>
        <v>42549</v>
      </c>
      <c r="H883" s="69" cm="1">
        <f t="array" ref="H883">INDEX($C$5:$C$1012, F883)</f>
        <v>49.44</v>
      </c>
      <c r="I883" s="70" cm="1">
        <f t="array" ref="I883">INDEX($D$5:$D$1012, F883)</f>
        <v>38132040</v>
      </c>
    </row>
    <row r="884" spans="2:9" x14ac:dyDescent="0.2">
      <c r="B884" s="62">
        <v>41463</v>
      </c>
      <c r="C884" s="72">
        <v>34.325000000000003</v>
      </c>
      <c r="D884" s="71">
        <v>32357160</v>
      </c>
      <c r="E884" s="66" t="s">
        <v>81</v>
      </c>
      <c r="F884" s="16">
        <f t="shared" si="19"/>
        <v>129</v>
      </c>
      <c r="G884" s="67" cm="1">
        <f t="array" ref="G884">INDEX($B$5:$B$1012, F884)</f>
        <v>42550</v>
      </c>
      <c r="H884" s="69" cm="1">
        <f t="array" ref="H884">INDEX($C$5:$C$1012, F884)</f>
        <v>50.54</v>
      </c>
      <c r="I884" s="70" cm="1">
        <f t="array" ref="I884">INDEX($D$5:$D$1012, F884)</f>
        <v>31287260</v>
      </c>
    </row>
    <row r="885" spans="2:9" x14ac:dyDescent="0.2">
      <c r="B885" s="62">
        <v>41460</v>
      </c>
      <c r="C885" s="72">
        <v>34.21</v>
      </c>
      <c r="D885" s="71">
        <v>26085600</v>
      </c>
      <c r="E885" s="66" t="s">
        <v>81</v>
      </c>
      <c r="F885" s="16">
        <f t="shared" si="19"/>
        <v>128</v>
      </c>
      <c r="G885" s="67" cm="1">
        <f t="array" ref="G885">INDEX($B$5:$B$1012, F885)</f>
        <v>42551</v>
      </c>
      <c r="H885" s="69" cm="1">
        <f t="array" ref="H885">INDEX($C$5:$C$1012, F885)</f>
        <v>51.17</v>
      </c>
      <c r="I885" s="70" cm="1">
        <f t="array" ref="I885">INDEX($D$5:$D$1012, F885)</f>
        <v>28524020</v>
      </c>
    </row>
    <row r="886" spans="2:9" x14ac:dyDescent="0.2">
      <c r="B886" s="62">
        <v>41458</v>
      </c>
      <c r="C886" s="72">
        <v>34.01</v>
      </c>
      <c r="D886" s="71">
        <v>15994380</v>
      </c>
      <c r="E886" s="66" t="s">
        <v>81</v>
      </c>
      <c r="F886" s="16">
        <f t="shared" si="19"/>
        <v>127</v>
      </c>
      <c r="G886" s="67" cm="1">
        <f t="array" ref="G886">INDEX($B$5:$B$1012, F886)</f>
        <v>42552</v>
      </c>
      <c r="H886" s="69" cm="1">
        <f t="array" ref="H886">INDEX($C$5:$C$1012, F886)</f>
        <v>51.16</v>
      </c>
      <c r="I886" s="70" cm="1">
        <f t="array" ref="I886">INDEX($D$5:$D$1012, F886)</f>
        <v>21398770</v>
      </c>
    </row>
    <row r="887" spans="2:9" x14ac:dyDescent="0.2">
      <c r="B887" s="62">
        <v>41457</v>
      </c>
      <c r="C887" s="72">
        <v>33.94</v>
      </c>
      <c r="D887" s="71">
        <v>37629320</v>
      </c>
      <c r="E887" s="66" t="s">
        <v>81</v>
      </c>
      <c r="F887" s="16">
        <f t="shared" si="19"/>
        <v>126</v>
      </c>
      <c r="G887" s="67" cm="1">
        <f t="array" ref="G887">INDEX($B$5:$B$1012, F887)</f>
        <v>42556</v>
      </c>
      <c r="H887" s="69" cm="1">
        <f t="array" ref="H887">INDEX($C$5:$C$1012, F887)</f>
        <v>51.17</v>
      </c>
      <c r="I887" s="70" cm="1">
        <f t="array" ref="I887">INDEX($D$5:$D$1012, F887)</f>
        <v>24781550</v>
      </c>
    </row>
    <row r="888" spans="2:9" x14ac:dyDescent="0.2">
      <c r="B888" s="62">
        <v>41456</v>
      </c>
      <c r="C888" s="72">
        <v>34.36</v>
      </c>
      <c r="D888" s="71">
        <v>31053200</v>
      </c>
      <c r="E888" s="66" t="s">
        <v>81</v>
      </c>
      <c r="F888" s="16">
        <f t="shared" si="19"/>
        <v>125</v>
      </c>
      <c r="G888" s="67" cm="1">
        <f t="array" ref="G888">INDEX($B$5:$B$1012, F888)</f>
        <v>42557</v>
      </c>
      <c r="H888" s="69" cm="1">
        <f t="array" ref="H888">INDEX($C$5:$C$1012, F888)</f>
        <v>51.38</v>
      </c>
      <c r="I888" s="70" cm="1">
        <f t="array" ref="I888">INDEX($D$5:$D$1012, F888)</f>
        <v>28165990</v>
      </c>
    </row>
    <row r="889" spans="2:9" x14ac:dyDescent="0.2">
      <c r="B889" s="62">
        <v>41453</v>
      </c>
      <c r="C889" s="72">
        <v>34.545000000000002</v>
      </c>
      <c r="D889" s="71">
        <v>65544350</v>
      </c>
      <c r="E889" s="66" t="s">
        <v>81</v>
      </c>
      <c r="F889" s="16">
        <f t="shared" si="19"/>
        <v>124</v>
      </c>
      <c r="G889" s="67" cm="1">
        <f t="array" ref="G889">INDEX($B$5:$B$1012, F889)</f>
        <v>42558</v>
      </c>
      <c r="H889" s="69" cm="1">
        <f t="array" ref="H889">INDEX($C$5:$C$1012, F889)</f>
        <v>51.38</v>
      </c>
      <c r="I889" s="70" cm="1">
        <f t="array" ref="I889">INDEX($D$5:$D$1012, F889)</f>
        <v>19582210</v>
      </c>
    </row>
    <row r="890" spans="2:9" x14ac:dyDescent="0.2">
      <c r="B890" s="62">
        <v>41452</v>
      </c>
      <c r="C890" s="72">
        <v>34.619999999999997</v>
      </c>
      <c r="D890" s="71">
        <v>28989490</v>
      </c>
      <c r="E890" s="66" t="s">
        <v>81</v>
      </c>
      <c r="F890" s="16">
        <f t="shared" si="19"/>
        <v>123</v>
      </c>
      <c r="G890" s="67" cm="1">
        <f t="array" ref="G890">INDEX($B$5:$B$1012, F890)</f>
        <v>42559</v>
      </c>
      <c r="H890" s="69" cm="1">
        <f t="array" ref="H890">INDEX($C$5:$C$1012, F890)</f>
        <v>52.3</v>
      </c>
      <c r="I890" s="70" cm="1">
        <f t="array" ref="I890">INDEX($D$5:$D$1012, F890)</f>
        <v>28390820</v>
      </c>
    </row>
    <row r="891" spans="2:9" x14ac:dyDescent="0.2">
      <c r="B891" s="62">
        <v>41451</v>
      </c>
      <c r="C891" s="72">
        <v>34.35</v>
      </c>
      <c r="D891" s="71">
        <v>48665440</v>
      </c>
      <c r="E891" s="66" t="s">
        <v>81</v>
      </c>
      <c r="F891" s="16">
        <f t="shared" si="19"/>
        <v>122</v>
      </c>
      <c r="G891" s="67" cm="1">
        <f t="array" ref="G891">INDEX($B$5:$B$1012, F891)</f>
        <v>42562</v>
      </c>
      <c r="H891" s="69" cm="1">
        <f t="array" ref="H891">INDEX($C$5:$C$1012, F891)</f>
        <v>52.59</v>
      </c>
      <c r="I891" s="70" cm="1">
        <f t="array" ref="I891">INDEX($D$5:$D$1012, F891)</f>
        <v>21894550</v>
      </c>
    </row>
    <row r="892" spans="2:9" x14ac:dyDescent="0.2">
      <c r="B892" s="62">
        <v>41450</v>
      </c>
      <c r="C892" s="72">
        <v>33.67</v>
      </c>
      <c r="D892" s="71">
        <v>44050890</v>
      </c>
      <c r="E892" s="66" t="s">
        <v>81</v>
      </c>
      <c r="F892" s="16">
        <f t="shared" si="19"/>
        <v>121</v>
      </c>
      <c r="G892" s="67" cm="1">
        <f t="array" ref="G892">INDEX($B$5:$B$1012, F892)</f>
        <v>42563</v>
      </c>
      <c r="H892" s="69" cm="1">
        <f t="array" ref="H892">INDEX($C$5:$C$1012, F892)</f>
        <v>53.21</v>
      </c>
      <c r="I892" s="70" cm="1">
        <f t="array" ref="I892">INDEX($D$5:$D$1012, F892)</f>
        <v>27312600</v>
      </c>
    </row>
    <row r="893" spans="2:9" x14ac:dyDescent="0.2">
      <c r="B893" s="62">
        <v>41449</v>
      </c>
      <c r="C893" s="72">
        <v>33.715000000000003</v>
      </c>
      <c r="D893" s="71">
        <v>56104910</v>
      </c>
      <c r="E893" s="66" t="s">
        <v>81</v>
      </c>
      <c r="F893" s="16">
        <f t="shared" si="19"/>
        <v>120</v>
      </c>
      <c r="G893" s="67" cm="1">
        <f t="array" ref="G893">INDEX($B$5:$B$1012, F893)</f>
        <v>42564</v>
      </c>
      <c r="H893" s="69" cm="1">
        <f t="array" ref="H893">INDEX($C$5:$C$1012, F893)</f>
        <v>53.51</v>
      </c>
      <c r="I893" s="70" cm="1">
        <f t="array" ref="I893">INDEX($D$5:$D$1012, F893)</f>
        <v>25334860</v>
      </c>
    </row>
    <row r="894" spans="2:9" x14ac:dyDescent="0.2">
      <c r="B894" s="62">
        <v>41446</v>
      </c>
      <c r="C894" s="72">
        <v>33.265000000000001</v>
      </c>
      <c r="D894" s="71">
        <v>85337340</v>
      </c>
      <c r="E894" s="66" t="s">
        <v>81</v>
      </c>
      <c r="F894" s="16">
        <f t="shared" si="19"/>
        <v>119</v>
      </c>
      <c r="G894" s="67" cm="1">
        <f t="array" ref="G894">INDEX($B$5:$B$1012, F894)</f>
        <v>42565</v>
      </c>
      <c r="H894" s="69" cm="1">
        <f t="array" ref="H894">INDEX($C$5:$C$1012, F894)</f>
        <v>53.74</v>
      </c>
      <c r="I894" s="70" cm="1">
        <f t="array" ref="I894">INDEX($D$5:$D$1012, F894)</f>
        <v>24535370</v>
      </c>
    </row>
    <row r="895" spans="2:9" x14ac:dyDescent="0.2">
      <c r="B895" s="62">
        <v>41445</v>
      </c>
      <c r="C895" s="72">
        <v>33.49</v>
      </c>
      <c r="D895" s="71">
        <v>52536420</v>
      </c>
      <c r="E895" s="66" t="s">
        <v>81</v>
      </c>
      <c r="F895" s="16">
        <f t="shared" si="19"/>
        <v>118</v>
      </c>
      <c r="G895" s="67" cm="1">
        <f t="array" ref="G895">INDEX($B$5:$B$1012, F895)</f>
        <v>42566</v>
      </c>
      <c r="H895" s="69" cm="1">
        <f t="array" ref="H895">INDEX($C$5:$C$1012, F895)</f>
        <v>53.7</v>
      </c>
      <c r="I895" s="70" cm="1">
        <f t="array" ref="I895">INDEX($D$5:$D$1012, F895)</f>
        <v>31986450</v>
      </c>
    </row>
    <row r="896" spans="2:9" x14ac:dyDescent="0.2">
      <c r="B896" s="62">
        <v>41444</v>
      </c>
      <c r="C896" s="72">
        <v>34.590000000000003</v>
      </c>
      <c r="D896" s="71">
        <v>30810410</v>
      </c>
      <c r="E896" s="66" t="s">
        <v>81</v>
      </c>
      <c r="F896" s="16">
        <f t="shared" si="19"/>
        <v>117</v>
      </c>
      <c r="G896" s="67" cm="1">
        <f t="array" ref="G896">INDEX($B$5:$B$1012, F896)</f>
        <v>42569</v>
      </c>
      <c r="H896" s="69" cm="1">
        <f t="array" ref="H896">INDEX($C$5:$C$1012, F896)</f>
        <v>53.96</v>
      </c>
      <c r="I896" s="70" cm="1">
        <f t="array" ref="I896">INDEX($D$5:$D$1012, F896)</f>
        <v>31087650</v>
      </c>
    </row>
    <row r="897" spans="2:9" x14ac:dyDescent="0.2">
      <c r="B897" s="62">
        <v>41443</v>
      </c>
      <c r="C897" s="72">
        <v>34.979999999999997</v>
      </c>
      <c r="D897" s="71">
        <v>28193470</v>
      </c>
      <c r="E897" s="66" t="s">
        <v>81</v>
      </c>
      <c r="F897" s="16">
        <f t="shared" si="19"/>
        <v>116</v>
      </c>
      <c r="G897" s="67" cm="1">
        <f t="array" ref="G897">INDEX($B$5:$B$1012, F897)</f>
        <v>42570</v>
      </c>
      <c r="H897" s="69" cm="1">
        <f t="array" ref="H897">INDEX($C$5:$C$1012, F897)</f>
        <v>53.09</v>
      </c>
      <c r="I897" s="70" cm="1">
        <f t="array" ref="I897">INDEX($D$5:$D$1012, F897)</f>
        <v>51870970</v>
      </c>
    </row>
    <row r="898" spans="2:9" x14ac:dyDescent="0.2">
      <c r="B898" s="62">
        <v>41442</v>
      </c>
      <c r="C898" s="72">
        <v>35</v>
      </c>
      <c r="D898" s="71">
        <v>49670030</v>
      </c>
      <c r="E898" s="66" t="s">
        <v>81</v>
      </c>
      <c r="F898" s="16">
        <f t="shared" si="19"/>
        <v>115</v>
      </c>
      <c r="G898" s="67" cm="1">
        <f t="array" ref="G898">INDEX($B$5:$B$1012, F898)</f>
        <v>42571</v>
      </c>
      <c r="H898" s="69" cm="1">
        <f t="array" ref="H898">INDEX($C$5:$C$1012, F898)</f>
        <v>55.91</v>
      </c>
      <c r="I898" s="70" cm="1">
        <f t="array" ref="I898">INDEX($D$5:$D$1012, F898)</f>
        <v>89835200</v>
      </c>
    </row>
    <row r="899" spans="2:9" x14ac:dyDescent="0.2">
      <c r="B899" s="62">
        <v>41439</v>
      </c>
      <c r="C899" s="72">
        <v>34.4</v>
      </c>
      <c r="D899" s="71">
        <v>53188610</v>
      </c>
      <c r="E899" s="66" t="s">
        <v>81</v>
      </c>
      <c r="F899" s="16">
        <f t="shared" si="19"/>
        <v>114</v>
      </c>
      <c r="G899" s="67" cm="1">
        <f t="array" ref="G899">INDEX($B$5:$B$1012, F899)</f>
        <v>42572</v>
      </c>
      <c r="H899" s="69" cm="1">
        <f t="array" ref="H899">INDEX($C$5:$C$1012, F899)</f>
        <v>55.8</v>
      </c>
      <c r="I899" s="70" cm="1">
        <f t="array" ref="I899">INDEX($D$5:$D$1012, F899)</f>
        <v>32752350</v>
      </c>
    </row>
    <row r="900" spans="2:9" x14ac:dyDescent="0.2">
      <c r="B900" s="62">
        <v>41438</v>
      </c>
      <c r="C900" s="72">
        <v>34.715000000000003</v>
      </c>
      <c r="D900" s="71">
        <v>45634880</v>
      </c>
      <c r="E900" s="66" t="s">
        <v>81</v>
      </c>
      <c r="F900" s="16">
        <f t="shared" si="19"/>
        <v>113</v>
      </c>
      <c r="G900" s="67" cm="1">
        <f t="array" ref="G900">INDEX($B$5:$B$1012, F900)</f>
        <v>42573</v>
      </c>
      <c r="H900" s="69" cm="1">
        <f t="array" ref="H900">INDEX($C$5:$C$1012, F900)</f>
        <v>56.57</v>
      </c>
      <c r="I900" s="70" cm="1">
        <f t="array" ref="I900">INDEX($D$5:$D$1012, F900)</f>
        <v>31900840</v>
      </c>
    </row>
    <row r="901" spans="2:9" x14ac:dyDescent="0.2">
      <c r="B901" s="62">
        <v>41437</v>
      </c>
      <c r="C901" s="72">
        <v>35</v>
      </c>
      <c r="D901" s="71">
        <v>37371180</v>
      </c>
      <c r="E901" s="66" t="s">
        <v>81</v>
      </c>
      <c r="F901" s="16">
        <f t="shared" si="19"/>
        <v>112</v>
      </c>
      <c r="G901" s="67" cm="1">
        <f t="array" ref="G901">INDEX($B$5:$B$1012, F901)</f>
        <v>42576</v>
      </c>
      <c r="H901" s="69" cm="1">
        <f t="array" ref="H901">INDEX($C$5:$C$1012, F901)</f>
        <v>56.73</v>
      </c>
      <c r="I901" s="70" cm="1">
        <f t="array" ref="I901">INDEX($D$5:$D$1012, F901)</f>
        <v>24313330</v>
      </c>
    </row>
    <row r="902" spans="2:9" x14ac:dyDescent="0.2">
      <c r="B902" s="62">
        <v>41436</v>
      </c>
      <c r="C902" s="72">
        <v>34.840000000000003</v>
      </c>
      <c r="D902" s="71">
        <v>39435450</v>
      </c>
      <c r="E902" s="66" t="s">
        <v>81</v>
      </c>
      <c r="F902" s="16">
        <f t="shared" ref="F902:F965" si="20">COUNT(B902:B1909)</f>
        <v>111</v>
      </c>
      <c r="G902" s="67" cm="1">
        <f t="array" ref="G902">INDEX($B$5:$B$1012, F902)</f>
        <v>42577</v>
      </c>
      <c r="H902" s="69" cm="1">
        <f t="array" ref="H902">INDEX($C$5:$C$1012, F902)</f>
        <v>56.76</v>
      </c>
      <c r="I902" s="70" cm="1">
        <f t="array" ref="I902">INDEX($D$5:$D$1012, F902)</f>
        <v>28028820</v>
      </c>
    </row>
    <row r="903" spans="2:9" x14ac:dyDescent="0.2">
      <c r="B903" s="62">
        <v>41435</v>
      </c>
      <c r="C903" s="72">
        <v>35.47</v>
      </c>
      <c r="D903" s="71">
        <v>35991610</v>
      </c>
      <c r="E903" s="66" t="s">
        <v>81</v>
      </c>
      <c r="F903" s="16">
        <f t="shared" si="20"/>
        <v>110</v>
      </c>
      <c r="G903" s="67" cm="1">
        <f t="array" ref="G903">INDEX($B$5:$B$1012, F903)</f>
        <v>42578</v>
      </c>
      <c r="H903" s="69" cm="1">
        <f t="array" ref="H903">INDEX($C$5:$C$1012, F903)</f>
        <v>56.19</v>
      </c>
      <c r="I903" s="70" cm="1">
        <f t="array" ref="I903">INDEX($D$5:$D$1012, F903)</f>
        <v>32283520</v>
      </c>
    </row>
    <row r="904" spans="2:9" x14ac:dyDescent="0.2">
      <c r="B904" s="62">
        <v>41432</v>
      </c>
      <c r="C904" s="72">
        <v>35.67</v>
      </c>
      <c r="D904" s="71">
        <v>40757250</v>
      </c>
      <c r="E904" s="66" t="s">
        <v>81</v>
      </c>
      <c r="F904" s="16">
        <f t="shared" si="20"/>
        <v>109</v>
      </c>
      <c r="G904" s="67" cm="1">
        <f t="array" ref="G904">INDEX($B$5:$B$1012, F904)</f>
        <v>42579</v>
      </c>
      <c r="H904" s="69" cm="1">
        <f t="array" ref="H904">INDEX($C$5:$C$1012, F904)</f>
        <v>56.21</v>
      </c>
      <c r="I904" s="70" cm="1">
        <f t="array" ref="I904">INDEX($D$5:$D$1012, F904)</f>
        <v>37246140</v>
      </c>
    </row>
    <row r="905" spans="2:9" x14ac:dyDescent="0.2">
      <c r="B905" s="62">
        <v>41431</v>
      </c>
      <c r="C905" s="72">
        <v>34.96</v>
      </c>
      <c r="D905" s="71">
        <v>37617750</v>
      </c>
      <c r="E905" s="66" t="s">
        <v>81</v>
      </c>
      <c r="F905" s="16">
        <f t="shared" si="20"/>
        <v>108</v>
      </c>
      <c r="G905" s="67" cm="1">
        <f t="array" ref="G905">INDEX($B$5:$B$1012, F905)</f>
        <v>42580</v>
      </c>
      <c r="H905" s="69" cm="1">
        <f t="array" ref="H905">INDEX($C$5:$C$1012, F905)</f>
        <v>56.68</v>
      </c>
      <c r="I905" s="70" cm="1">
        <f t="array" ref="I905">INDEX($D$5:$D$1012, F905)</f>
        <v>30556950</v>
      </c>
    </row>
    <row r="906" spans="2:9" x14ac:dyDescent="0.2">
      <c r="B906" s="62">
        <v>41430</v>
      </c>
      <c r="C906" s="72">
        <v>34.78</v>
      </c>
      <c r="D906" s="71">
        <v>46023860</v>
      </c>
      <c r="E906" s="66" t="s">
        <v>81</v>
      </c>
      <c r="F906" s="16">
        <f t="shared" si="20"/>
        <v>107</v>
      </c>
      <c r="G906" s="67" cm="1">
        <f t="array" ref="G906">INDEX($B$5:$B$1012, F906)</f>
        <v>42583</v>
      </c>
      <c r="H906" s="69" cm="1">
        <f t="array" ref="H906">INDEX($C$5:$C$1012, F906)</f>
        <v>56.58</v>
      </c>
      <c r="I906" s="70" cm="1">
        <f t="array" ref="I906">INDEX($D$5:$D$1012, F906)</f>
        <v>26003110</v>
      </c>
    </row>
    <row r="907" spans="2:9" x14ac:dyDescent="0.2">
      <c r="B907" s="62">
        <v>41429</v>
      </c>
      <c r="C907" s="72">
        <v>34.99</v>
      </c>
      <c r="D907" s="71">
        <v>65528500</v>
      </c>
      <c r="E907" s="66" t="s">
        <v>81</v>
      </c>
      <c r="F907" s="16">
        <f t="shared" si="20"/>
        <v>106</v>
      </c>
      <c r="G907" s="67" cm="1">
        <f t="array" ref="G907">INDEX($B$5:$B$1012, F907)</f>
        <v>42584</v>
      </c>
      <c r="H907" s="69" cm="1">
        <f t="array" ref="H907">INDEX($C$5:$C$1012, F907)</f>
        <v>56.58</v>
      </c>
      <c r="I907" s="70" cm="1">
        <f t="array" ref="I907">INDEX($D$5:$D$1012, F907)</f>
        <v>35115250</v>
      </c>
    </row>
    <row r="908" spans="2:9" x14ac:dyDescent="0.2">
      <c r="B908" s="62">
        <v>41428</v>
      </c>
      <c r="C908" s="72">
        <v>35.590000000000003</v>
      </c>
      <c r="D908" s="71">
        <v>51248890</v>
      </c>
      <c r="E908" s="66" t="s">
        <v>81</v>
      </c>
      <c r="F908" s="16">
        <f t="shared" si="20"/>
        <v>105</v>
      </c>
      <c r="G908" s="67" cm="1">
        <f t="array" ref="G908">INDEX($B$5:$B$1012, F908)</f>
        <v>42585</v>
      </c>
      <c r="H908" s="69" cm="1">
        <f t="array" ref="H908">INDEX($C$5:$C$1012, F908)</f>
        <v>56.97</v>
      </c>
      <c r="I908" s="70" cm="1">
        <f t="array" ref="I908">INDEX($D$5:$D$1012, F908)</f>
        <v>22069790</v>
      </c>
    </row>
    <row r="909" spans="2:9" x14ac:dyDescent="0.2">
      <c r="B909" s="62">
        <v>41425</v>
      </c>
      <c r="C909" s="72">
        <v>34.9</v>
      </c>
      <c r="D909" s="71">
        <v>56158900</v>
      </c>
      <c r="E909" s="66" t="s">
        <v>81</v>
      </c>
      <c r="F909" s="16">
        <f t="shared" si="20"/>
        <v>104</v>
      </c>
      <c r="G909" s="67" cm="1">
        <f t="array" ref="G909">INDEX($B$5:$B$1012, F909)</f>
        <v>42586</v>
      </c>
      <c r="H909" s="69" cm="1">
        <f t="array" ref="H909">INDEX($C$5:$C$1012, F909)</f>
        <v>57.39</v>
      </c>
      <c r="I909" s="70" cm="1">
        <f t="array" ref="I909">INDEX($D$5:$D$1012, F909)</f>
        <v>26485600</v>
      </c>
    </row>
    <row r="910" spans="2:9" x14ac:dyDescent="0.2">
      <c r="B910" s="62">
        <v>41424</v>
      </c>
      <c r="C910" s="72">
        <v>35.03</v>
      </c>
      <c r="D910" s="71">
        <v>51130810</v>
      </c>
      <c r="E910" s="66" t="s">
        <v>81</v>
      </c>
      <c r="F910" s="16">
        <f t="shared" si="20"/>
        <v>103</v>
      </c>
      <c r="G910" s="67" cm="1">
        <f t="array" ref="G910">INDEX($B$5:$B$1012, F910)</f>
        <v>42587</v>
      </c>
      <c r="H910" s="69" cm="1">
        <f t="array" ref="H910">INDEX($C$5:$C$1012, F910)</f>
        <v>57.96</v>
      </c>
      <c r="I910" s="70" cm="1">
        <f t="array" ref="I910">INDEX($D$5:$D$1012, F910)</f>
        <v>28804780</v>
      </c>
    </row>
    <row r="911" spans="2:9" x14ac:dyDescent="0.2">
      <c r="B911" s="62">
        <v>41423</v>
      </c>
      <c r="C911" s="72">
        <v>34.880000000000003</v>
      </c>
      <c r="D911" s="71">
        <v>38387660</v>
      </c>
      <c r="E911" s="66" t="s">
        <v>81</v>
      </c>
      <c r="F911" s="16">
        <f t="shared" si="20"/>
        <v>102</v>
      </c>
      <c r="G911" s="67" cm="1">
        <f t="array" ref="G911">INDEX($B$5:$B$1012, F911)</f>
        <v>42590</v>
      </c>
      <c r="H911" s="69" cm="1">
        <f t="array" ref="H911">INDEX($C$5:$C$1012, F911)</f>
        <v>58.06</v>
      </c>
      <c r="I911" s="70" cm="1">
        <f t="array" ref="I911">INDEX($D$5:$D$1012, F911)</f>
        <v>19459340</v>
      </c>
    </row>
    <row r="912" spans="2:9" x14ac:dyDescent="0.2">
      <c r="B912" s="62">
        <v>41422</v>
      </c>
      <c r="C912" s="72">
        <v>35.020000000000003</v>
      </c>
      <c r="D912" s="71">
        <v>48210220</v>
      </c>
      <c r="E912" s="66" t="s">
        <v>81</v>
      </c>
      <c r="F912" s="16">
        <f t="shared" si="20"/>
        <v>101</v>
      </c>
      <c r="G912" s="67" cm="1">
        <f t="array" ref="G912">INDEX($B$5:$B$1012, F912)</f>
        <v>42591</v>
      </c>
      <c r="H912" s="69" cm="1">
        <f t="array" ref="H912">INDEX($C$5:$C$1012, F912)</f>
        <v>58.2</v>
      </c>
      <c r="I912" s="70" cm="1">
        <f t="array" ref="I912">INDEX($D$5:$D$1012, F912)</f>
        <v>16891750</v>
      </c>
    </row>
    <row r="913" spans="2:9" x14ac:dyDescent="0.2">
      <c r="B913" s="62">
        <v>41418</v>
      </c>
      <c r="C913" s="72">
        <v>34.268999999999998</v>
      </c>
      <c r="D913" s="71">
        <v>33174300</v>
      </c>
      <c r="E913" s="66" t="s">
        <v>81</v>
      </c>
      <c r="F913" s="16">
        <f t="shared" si="20"/>
        <v>100</v>
      </c>
      <c r="G913" s="67" cm="1">
        <f t="array" ref="G913">INDEX($B$5:$B$1012, F913)</f>
        <v>42592</v>
      </c>
      <c r="H913" s="69" cm="1">
        <f t="array" ref="H913">INDEX($C$5:$C$1012, F913)</f>
        <v>58.02</v>
      </c>
      <c r="I913" s="70" cm="1">
        <f t="array" ref="I913">INDEX($D$5:$D$1012, F913)</f>
        <v>15702720</v>
      </c>
    </row>
    <row r="914" spans="2:9" x14ac:dyDescent="0.2">
      <c r="B914" s="62">
        <v>41417</v>
      </c>
      <c r="C914" s="72">
        <v>34.15</v>
      </c>
      <c r="D914" s="71">
        <v>51101690</v>
      </c>
      <c r="E914" s="66" t="s">
        <v>81</v>
      </c>
      <c r="F914" s="16">
        <f t="shared" si="20"/>
        <v>99</v>
      </c>
      <c r="G914" s="67" cm="1">
        <f t="array" ref="G914">INDEX($B$5:$B$1012, F914)</f>
        <v>42593</v>
      </c>
      <c r="H914" s="69" cm="1">
        <f t="array" ref="H914">INDEX($C$5:$C$1012, F914)</f>
        <v>58.3</v>
      </c>
      <c r="I914" s="70" cm="1">
        <f t="array" ref="I914">INDEX($D$5:$D$1012, F914)</f>
        <v>18161190</v>
      </c>
    </row>
    <row r="915" spans="2:9" x14ac:dyDescent="0.2">
      <c r="B915" s="62">
        <v>41416</v>
      </c>
      <c r="C915" s="72">
        <v>34.61</v>
      </c>
      <c r="D915" s="71">
        <v>66038450</v>
      </c>
      <c r="E915" s="66" t="s">
        <v>81</v>
      </c>
      <c r="F915" s="16">
        <f t="shared" si="20"/>
        <v>98</v>
      </c>
      <c r="G915" s="67" cm="1">
        <f t="array" ref="G915">INDEX($B$5:$B$1012, F915)</f>
        <v>42594</v>
      </c>
      <c r="H915" s="69" cm="1">
        <f t="array" ref="H915">INDEX($C$5:$C$1012, F915)</f>
        <v>57.94</v>
      </c>
      <c r="I915" s="70" cm="1">
        <f t="array" ref="I915">INDEX($D$5:$D$1012, F915)</f>
        <v>21646690</v>
      </c>
    </row>
    <row r="916" spans="2:9" x14ac:dyDescent="0.2">
      <c r="B916" s="62">
        <v>41415</v>
      </c>
      <c r="C916" s="72">
        <v>34.85</v>
      </c>
      <c r="D916" s="71">
        <v>48693060</v>
      </c>
      <c r="E916" s="66" t="s">
        <v>81</v>
      </c>
      <c r="F916" s="16">
        <f t="shared" si="20"/>
        <v>97</v>
      </c>
      <c r="G916" s="67" cm="1">
        <f t="array" ref="G916">INDEX($B$5:$B$1012, F916)</f>
        <v>42597</v>
      </c>
      <c r="H916" s="69" cm="1">
        <f t="array" ref="H916">INDEX($C$5:$C$1012, F916)</f>
        <v>58.12</v>
      </c>
      <c r="I916" s="70" cm="1">
        <f t="array" ref="I916">INDEX($D$5:$D$1012, F916)</f>
        <v>18764820</v>
      </c>
    </row>
    <row r="917" spans="2:9" x14ac:dyDescent="0.2">
      <c r="B917" s="62">
        <v>41414</v>
      </c>
      <c r="C917" s="72">
        <v>35.08</v>
      </c>
      <c r="D917" s="71">
        <v>54002050</v>
      </c>
      <c r="E917" s="66" t="s">
        <v>81</v>
      </c>
      <c r="F917" s="16">
        <f t="shared" si="20"/>
        <v>96</v>
      </c>
      <c r="G917" s="67" cm="1">
        <f t="array" ref="G917">INDEX($B$5:$B$1012, F917)</f>
        <v>42598</v>
      </c>
      <c r="H917" s="69" cm="1">
        <f t="array" ref="H917">INDEX($C$5:$C$1012, F917)</f>
        <v>57.44</v>
      </c>
      <c r="I917" s="70" cm="1">
        <f t="array" ref="I917">INDEX($D$5:$D$1012, F917)</f>
        <v>20452960</v>
      </c>
    </row>
    <row r="918" spans="2:9" x14ac:dyDescent="0.2">
      <c r="B918" s="62">
        <v>41411</v>
      </c>
      <c r="C918" s="72">
        <v>34.869999999999997</v>
      </c>
      <c r="D918" s="71">
        <v>60664610</v>
      </c>
      <c r="E918" s="66" t="s">
        <v>81</v>
      </c>
      <c r="F918" s="16">
        <f t="shared" si="20"/>
        <v>95</v>
      </c>
      <c r="G918" s="67" cm="1">
        <f t="array" ref="G918">INDEX($B$5:$B$1012, F918)</f>
        <v>42599</v>
      </c>
      <c r="H918" s="69" cm="1">
        <f t="array" ref="H918">INDEX($C$5:$C$1012, F918)</f>
        <v>57.56</v>
      </c>
      <c r="I918" s="70" cm="1">
        <f t="array" ref="I918">INDEX($D$5:$D$1012, F918)</f>
        <v>18798940</v>
      </c>
    </row>
    <row r="919" spans="2:9" x14ac:dyDescent="0.2">
      <c r="B919" s="62">
        <v>41410</v>
      </c>
      <c r="C919" s="72">
        <v>34.08</v>
      </c>
      <c r="D919" s="71">
        <v>59311070</v>
      </c>
      <c r="E919" s="66" t="s">
        <v>81</v>
      </c>
      <c r="F919" s="16">
        <f t="shared" si="20"/>
        <v>94</v>
      </c>
      <c r="G919" s="67" cm="1">
        <f t="array" ref="G919">INDEX($B$5:$B$1012, F919)</f>
        <v>42600</v>
      </c>
      <c r="H919" s="69" cm="1">
        <f t="array" ref="H919">INDEX($C$5:$C$1012, F919)</f>
        <v>57.6</v>
      </c>
      <c r="I919" s="70" cm="1">
        <f t="array" ref="I919">INDEX($D$5:$D$1012, F919)</f>
        <v>14211810</v>
      </c>
    </row>
    <row r="920" spans="2:9" x14ac:dyDescent="0.2">
      <c r="B920" s="62">
        <v>41409</v>
      </c>
      <c r="C920" s="72">
        <v>33.844999999999999</v>
      </c>
      <c r="D920" s="71">
        <v>46302980</v>
      </c>
      <c r="E920" s="66" t="s">
        <v>81</v>
      </c>
      <c r="F920" s="16">
        <f t="shared" si="20"/>
        <v>93</v>
      </c>
      <c r="G920" s="67" cm="1">
        <f t="array" ref="G920">INDEX($B$5:$B$1012, F920)</f>
        <v>42601</v>
      </c>
      <c r="H920" s="69" cm="1">
        <f t="array" ref="H920">INDEX($C$5:$C$1012, F920)</f>
        <v>57.62</v>
      </c>
      <c r="I920" s="70" cm="1">
        <f t="array" ref="I920">INDEX($D$5:$D$1012, F920)</f>
        <v>17271010</v>
      </c>
    </row>
    <row r="921" spans="2:9" x14ac:dyDescent="0.2">
      <c r="B921" s="62">
        <v>41408</v>
      </c>
      <c r="C921" s="72">
        <v>33.53</v>
      </c>
      <c r="D921" s="71">
        <v>56840640</v>
      </c>
      <c r="E921" s="66" t="s">
        <v>81</v>
      </c>
      <c r="F921" s="16">
        <f t="shared" si="20"/>
        <v>92</v>
      </c>
      <c r="G921" s="67" cm="1">
        <f t="array" ref="G921">INDEX($B$5:$B$1012, F921)</f>
        <v>42604</v>
      </c>
      <c r="H921" s="69" cm="1">
        <f t="array" ref="H921">INDEX($C$5:$C$1012, F921)</f>
        <v>57.67</v>
      </c>
      <c r="I921" s="70" cm="1">
        <f t="array" ref="I921">INDEX($D$5:$D$1012, F921)</f>
        <v>15215880</v>
      </c>
    </row>
    <row r="922" spans="2:9" x14ac:dyDescent="0.2">
      <c r="B922" s="62">
        <v>41407</v>
      </c>
      <c r="C922" s="72">
        <v>33.03</v>
      </c>
      <c r="D922" s="71">
        <v>36026370</v>
      </c>
      <c r="E922" s="66" t="s">
        <v>81</v>
      </c>
      <c r="F922" s="16">
        <f t="shared" si="20"/>
        <v>91</v>
      </c>
      <c r="G922" s="67" cm="1">
        <f t="array" ref="G922">INDEX($B$5:$B$1012, F922)</f>
        <v>42605</v>
      </c>
      <c r="H922" s="69" cm="1">
        <f t="array" ref="H922">INDEX($C$5:$C$1012, F922)</f>
        <v>57.89</v>
      </c>
      <c r="I922" s="70" cm="1">
        <f t="array" ref="I922">INDEX($D$5:$D$1012, F922)</f>
        <v>18722560</v>
      </c>
    </row>
    <row r="923" spans="2:9" x14ac:dyDescent="0.2">
      <c r="B923" s="62">
        <v>41404</v>
      </c>
      <c r="C923" s="72">
        <v>32.69</v>
      </c>
      <c r="D923" s="71">
        <v>36394100</v>
      </c>
      <c r="E923" s="66" t="s">
        <v>81</v>
      </c>
      <c r="F923" s="16">
        <f t="shared" si="20"/>
        <v>90</v>
      </c>
      <c r="G923" s="67" cm="1">
        <f t="array" ref="G923">INDEX($B$5:$B$1012, F923)</f>
        <v>42606</v>
      </c>
      <c r="H923" s="69" cm="1">
        <f t="array" ref="H923">INDEX($C$5:$C$1012, F923)</f>
        <v>57.95</v>
      </c>
      <c r="I923" s="70" cm="1">
        <f t="array" ref="I923">INDEX($D$5:$D$1012, F923)</f>
        <v>17118420</v>
      </c>
    </row>
    <row r="924" spans="2:9" x14ac:dyDescent="0.2">
      <c r="B924" s="62">
        <v>41403</v>
      </c>
      <c r="C924" s="72">
        <v>32.659999999999997</v>
      </c>
      <c r="D924" s="71">
        <v>46382110</v>
      </c>
      <c r="E924" s="66" t="s">
        <v>81</v>
      </c>
      <c r="F924" s="16">
        <f t="shared" si="20"/>
        <v>89</v>
      </c>
      <c r="G924" s="67" cm="1">
        <f t="array" ref="G924">INDEX($B$5:$B$1012, F924)</f>
        <v>42607</v>
      </c>
      <c r="H924" s="69" cm="1">
        <f t="array" ref="H924">INDEX($C$5:$C$1012, F924)</f>
        <v>58.17</v>
      </c>
      <c r="I924" s="70" cm="1">
        <f t="array" ref="I924">INDEX($D$5:$D$1012, F924)</f>
        <v>18551890</v>
      </c>
    </row>
    <row r="925" spans="2:9" x14ac:dyDescent="0.2">
      <c r="B925" s="62">
        <v>41402</v>
      </c>
      <c r="C925" s="72">
        <v>32.99</v>
      </c>
      <c r="D925" s="71">
        <v>51639890</v>
      </c>
      <c r="E925" s="66" t="s">
        <v>81</v>
      </c>
      <c r="F925" s="16">
        <f t="shared" si="20"/>
        <v>88</v>
      </c>
      <c r="G925" s="67" cm="1">
        <f t="array" ref="G925">INDEX($B$5:$B$1012, F925)</f>
        <v>42608</v>
      </c>
      <c r="H925" s="69" cm="1">
        <f t="array" ref="H925">INDEX($C$5:$C$1012, F925)</f>
        <v>58.03</v>
      </c>
      <c r="I925" s="70" cm="1">
        <f t="array" ref="I925">INDEX($D$5:$D$1012, F925)</f>
        <v>20935160</v>
      </c>
    </row>
    <row r="926" spans="2:9" x14ac:dyDescent="0.2">
      <c r="B926" s="62">
        <v>41401</v>
      </c>
      <c r="C926" s="72">
        <v>33.31</v>
      </c>
      <c r="D926" s="71">
        <v>42915760</v>
      </c>
      <c r="E926" s="66" t="s">
        <v>81</v>
      </c>
      <c r="F926" s="16">
        <f t="shared" si="20"/>
        <v>87</v>
      </c>
      <c r="G926" s="67" cm="1">
        <f t="array" ref="G926">INDEX($B$5:$B$1012, F926)</f>
        <v>42611</v>
      </c>
      <c r="H926" s="69" cm="1">
        <f t="array" ref="H926">INDEX($C$5:$C$1012, F926)</f>
        <v>58.1</v>
      </c>
      <c r="I926" s="70" cm="1">
        <f t="array" ref="I926">INDEX($D$5:$D$1012, F926)</f>
        <v>16388470</v>
      </c>
    </row>
    <row r="927" spans="2:9" x14ac:dyDescent="0.2">
      <c r="B927" s="62">
        <v>41400</v>
      </c>
      <c r="C927" s="72">
        <v>33.75</v>
      </c>
      <c r="D927" s="71">
        <v>40975890</v>
      </c>
      <c r="E927" s="66" t="s">
        <v>81</v>
      </c>
      <c r="F927" s="16">
        <f t="shared" si="20"/>
        <v>86</v>
      </c>
      <c r="G927" s="67" cm="1">
        <f t="array" ref="G927">INDEX($B$5:$B$1012, F927)</f>
        <v>42612</v>
      </c>
      <c r="H927" s="69" cm="1">
        <f t="array" ref="H927">INDEX($C$5:$C$1012, F927)</f>
        <v>57.89</v>
      </c>
      <c r="I927" s="70" cm="1">
        <f t="array" ref="I927">INDEX($D$5:$D$1012, F927)</f>
        <v>16900190</v>
      </c>
    </row>
    <row r="928" spans="2:9" x14ac:dyDescent="0.2">
      <c r="B928" s="62">
        <v>41397</v>
      </c>
      <c r="C928" s="72">
        <v>33.49</v>
      </c>
      <c r="D928" s="71">
        <v>46775070</v>
      </c>
      <c r="E928" s="66" t="s">
        <v>81</v>
      </c>
      <c r="F928" s="16">
        <f t="shared" si="20"/>
        <v>85</v>
      </c>
      <c r="G928" s="67" cm="1">
        <f t="array" ref="G928">INDEX($B$5:$B$1012, F928)</f>
        <v>42613</v>
      </c>
      <c r="H928" s="69" cm="1">
        <f t="array" ref="H928">INDEX($C$5:$C$1012, F928)</f>
        <v>57.46</v>
      </c>
      <c r="I928" s="70" cm="1">
        <f t="array" ref="I928">INDEX($D$5:$D$1012, F928)</f>
        <v>20844280</v>
      </c>
    </row>
    <row r="929" spans="2:9" x14ac:dyDescent="0.2">
      <c r="B929" s="62">
        <v>41396</v>
      </c>
      <c r="C929" s="72">
        <v>33.159999999999997</v>
      </c>
      <c r="D929" s="71">
        <v>46051240</v>
      </c>
      <c r="E929" s="66" t="s">
        <v>81</v>
      </c>
      <c r="F929" s="16">
        <f t="shared" si="20"/>
        <v>84</v>
      </c>
      <c r="G929" s="67" cm="1">
        <f t="array" ref="G929">INDEX($B$5:$B$1012, F929)</f>
        <v>42614</v>
      </c>
      <c r="H929" s="69" cm="1">
        <f t="array" ref="H929">INDEX($C$5:$C$1012, F929)</f>
        <v>57.59</v>
      </c>
      <c r="I929" s="70" cm="1">
        <f t="array" ref="I929">INDEX($D$5:$D$1012, F929)</f>
        <v>26053530</v>
      </c>
    </row>
    <row r="930" spans="2:9" x14ac:dyDescent="0.2">
      <c r="B930" s="62">
        <v>41395</v>
      </c>
      <c r="C930" s="72">
        <v>32.72</v>
      </c>
      <c r="D930" s="71">
        <v>54327480</v>
      </c>
      <c r="E930" s="66" t="s">
        <v>81</v>
      </c>
      <c r="F930" s="16">
        <f t="shared" si="20"/>
        <v>83</v>
      </c>
      <c r="G930" s="67" cm="1">
        <f t="array" ref="G930">INDEX($B$5:$B$1012, F930)</f>
        <v>42615</v>
      </c>
      <c r="H930" s="69" cm="1">
        <f t="array" ref="H930">INDEX($C$5:$C$1012, F930)</f>
        <v>57.67</v>
      </c>
      <c r="I930" s="70" cm="1">
        <f t="array" ref="I930">INDEX($D$5:$D$1012, F930)</f>
        <v>18897210</v>
      </c>
    </row>
    <row r="931" spans="2:9" x14ac:dyDescent="0.2">
      <c r="B931" s="62">
        <v>41394</v>
      </c>
      <c r="C931" s="72">
        <v>33.1</v>
      </c>
      <c r="D931" s="71">
        <v>75112220</v>
      </c>
      <c r="E931" s="66" t="s">
        <v>81</v>
      </c>
      <c r="F931" s="16">
        <f t="shared" si="20"/>
        <v>82</v>
      </c>
      <c r="G931" s="67" cm="1">
        <f t="array" ref="G931">INDEX($B$5:$B$1012, F931)</f>
        <v>42619</v>
      </c>
      <c r="H931" s="69" cm="1">
        <f t="array" ref="H931">INDEX($C$5:$C$1012, F931)</f>
        <v>57.61</v>
      </c>
      <c r="I931" s="70" cm="1">
        <f t="array" ref="I931">INDEX($D$5:$D$1012, F931)</f>
        <v>16264890</v>
      </c>
    </row>
    <row r="932" spans="2:9" x14ac:dyDescent="0.2">
      <c r="B932" s="62">
        <v>41393</v>
      </c>
      <c r="C932" s="72">
        <v>32.61</v>
      </c>
      <c r="D932" s="71">
        <v>58978430</v>
      </c>
      <c r="E932" s="66" t="s">
        <v>81</v>
      </c>
      <c r="F932" s="16">
        <f t="shared" si="20"/>
        <v>81</v>
      </c>
      <c r="G932" s="67" cm="1">
        <f t="array" ref="G932">INDEX($B$5:$B$1012, F932)</f>
        <v>42620</v>
      </c>
      <c r="H932" s="69" cm="1">
        <f t="array" ref="H932">INDEX($C$5:$C$1012, F932)</f>
        <v>57.66</v>
      </c>
      <c r="I932" s="70" cm="1">
        <f t="array" ref="I932">INDEX($D$5:$D$1012, F932)</f>
        <v>17484810</v>
      </c>
    </row>
    <row r="933" spans="2:9" x14ac:dyDescent="0.2">
      <c r="B933" s="62">
        <v>41390</v>
      </c>
      <c r="C933" s="72">
        <v>31.79</v>
      </c>
      <c r="D933" s="71">
        <v>47799180</v>
      </c>
      <c r="E933" s="66" t="s">
        <v>81</v>
      </c>
      <c r="F933" s="16">
        <f t="shared" si="20"/>
        <v>80</v>
      </c>
      <c r="G933" s="67" cm="1">
        <f t="array" ref="G933">INDEX($B$5:$B$1012, F933)</f>
        <v>42621</v>
      </c>
      <c r="H933" s="69" cm="1">
        <f t="array" ref="H933">INDEX($C$5:$C$1012, F933)</f>
        <v>57.43</v>
      </c>
      <c r="I933" s="70" cm="1">
        <f t="array" ref="I933">INDEX($D$5:$D$1012, F933)</f>
        <v>20109050</v>
      </c>
    </row>
    <row r="934" spans="2:9" x14ac:dyDescent="0.2">
      <c r="B934" s="62">
        <v>41389</v>
      </c>
      <c r="C934" s="72">
        <v>31.94</v>
      </c>
      <c r="D934" s="71">
        <v>110581800</v>
      </c>
      <c r="E934" s="66" t="s">
        <v>81</v>
      </c>
      <c r="F934" s="16">
        <f t="shared" si="20"/>
        <v>79</v>
      </c>
      <c r="G934" s="67" cm="1">
        <f t="array" ref="G934">INDEX($B$5:$B$1012, F934)</f>
        <v>42622</v>
      </c>
      <c r="H934" s="69" cm="1">
        <f t="array" ref="H934">INDEX($C$5:$C$1012, F934)</f>
        <v>56.21</v>
      </c>
      <c r="I934" s="70" cm="1">
        <f t="array" ref="I934">INDEX($D$5:$D$1012, F934)</f>
        <v>35026930</v>
      </c>
    </row>
    <row r="935" spans="2:9" x14ac:dyDescent="0.2">
      <c r="B935" s="62">
        <v>41388</v>
      </c>
      <c r="C935" s="72">
        <v>31.76</v>
      </c>
      <c r="D935" s="71">
        <v>90895310</v>
      </c>
      <c r="E935" s="66" t="s">
        <v>81</v>
      </c>
      <c r="F935" s="16">
        <f t="shared" si="20"/>
        <v>78</v>
      </c>
      <c r="G935" s="67" cm="1">
        <f t="array" ref="G935">INDEX($B$5:$B$1012, F935)</f>
        <v>42625</v>
      </c>
      <c r="H935" s="69" cm="1">
        <f t="array" ref="H935">INDEX($C$5:$C$1012, F935)</f>
        <v>57.05</v>
      </c>
      <c r="I935" s="70" cm="1">
        <f t="array" ref="I935">INDEX($D$5:$D$1012, F935)</f>
        <v>29266780</v>
      </c>
    </row>
    <row r="936" spans="2:9" x14ac:dyDescent="0.2">
      <c r="B936" s="62">
        <v>41387</v>
      </c>
      <c r="C936" s="72">
        <v>30.6</v>
      </c>
      <c r="D936" s="71">
        <v>59026610</v>
      </c>
      <c r="E936" s="66" t="s">
        <v>81</v>
      </c>
      <c r="F936" s="16">
        <f t="shared" si="20"/>
        <v>77</v>
      </c>
      <c r="G936" s="67" cm="1">
        <f t="array" ref="G936">INDEX($B$5:$B$1012, F936)</f>
        <v>42626</v>
      </c>
      <c r="H936" s="69" cm="1">
        <f t="array" ref="H936">INDEX($C$5:$C$1012, F936)</f>
        <v>56.53</v>
      </c>
      <c r="I936" s="70" cm="1">
        <f t="array" ref="I936">INDEX($D$5:$D$1012, F936)</f>
        <v>30062330</v>
      </c>
    </row>
    <row r="937" spans="2:9" x14ac:dyDescent="0.2">
      <c r="B937" s="62">
        <v>41386</v>
      </c>
      <c r="C937" s="72">
        <v>30.83</v>
      </c>
      <c r="D937" s="71">
        <v>137899300</v>
      </c>
      <c r="E937" s="66" t="s">
        <v>81</v>
      </c>
      <c r="F937" s="16">
        <f t="shared" si="20"/>
        <v>76</v>
      </c>
      <c r="G937" s="67" cm="1">
        <f t="array" ref="G937">INDEX($B$5:$B$1012, F937)</f>
        <v>42627</v>
      </c>
      <c r="H937" s="69" cm="1">
        <f t="array" ref="H937">INDEX($C$5:$C$1012, F937)</f>
        <v>56.26</v>
      </c>
      <c r="I937" s="70" cm="1">
        <f t="array" ref="I937">INDEX($D$5:$D$1012, F937)</f>
        <v>24265700</v>
      </c>
    </row>
    <row r="938" spans="2:9" x14ac:dyDescent="0.2">
      <c r="B938" s="62">
        <v>41383</v>
      </c>
      <c r="C938" s="72">
        <v>29.765000000000001</v>
      </c>
      <c r="D938" s="71">
        <v>99788820</v>
      </c>
      <c r="E938" s="66" t="s">
        <v>81</v>
      </c>
      <c r="F938" s="16">
        <f t="shared" si="20"/>
        <v>75</v>
      </c>
      <c r="G938" s="67" cm="1">
        <f t="array" ref="G938">INDEX($B$5:$B$1012, F938)</f>
        <v>42628</v>
      </c>
      <c r="H938" s="69" cm="1">
        <f t="array" ref="H938">INDEX($C$5:$C$1012, F938)</f>
        <v>57.19</v>
      </c>
      <c r="I938" s="70" cm="1">
        <f t="array" ref="I938">INDEX($D$5:$D$1012, F938)</f>
        <v>27049520</v>
      </c>
    </row>
    <row r="939" spans="2:9" x14ac:dyDescent="0.2">
      <c r="B939" s="62">
        <v>41382</v>
      </c>
      <c r="C939" s="72">
        <v>28.79</v>
      </c>
      <c r="D939" s="71">
        <v>56705180</v>
      </c>
      <c r="E939" s="66" t="s">
        <v>81</v>
      </c>
      <c r="F939" s="16">
        <f t="shared" si="20"/>
        <v>74</v>
      </c>
      <c r="G939" s="67" cm="1">
        <f t="array" ref="G939">INDEX($B$5:$B$1012, F939)</f>
        <v>42629</v>
      </c>
      <c r="H939" s="69" cm="1">
        <f t="array" ref="H939">INDEX($C$5:$C$1012, F939)</f>
        <v>57.25</v>
      </c>
      <c r="I939" s="70" cm="1">
        <f t="array" ref="I939">INDEX($D$5:$D$1012, F939)</f>
        <v>44603890</v>
      </c>
    </row>
    <row r="940" spans="2:9" x14ac:dyDescent="0.2">
      <c r="B940" s="62">
        <v>41381</v>
      </c>
      <c r="C940" s="72">
        <v>28.824999999999999</v>
      </c>
      <c r="D940" s="71">
        <v>52840240</v>
      </c>
      <c r="E940" s="66" t="s">
        <v>81</v>
      </c>
      <c r="F940" s="16">
        <f t="shared" si="20"/>
        <v>73</v>
      </c>
      <c r="G940" s="67" cm="1">
        <f t="array" ref="G940">INDEX($B$5:$B$1012, F940)</f>
        <v>42632</v>
      </c>
      <c r="H940" s="69" cm="1">
        <f t="array" ref="H940">INDEX($C$5:$C$1012, F940)</f>
        <v>56.93</v>
      </c>
      <c r="I940" s="70" cm="1">
        <f t="array" ref="I940">INDEX($D$5:$D$1012, F940)</f>
        <v>20919450</v>
      </c>
    </row>
    <row r="941" spans="2:9" x14ac:dyDescent="0.2">
      <c r="B941" s="62">
        <v>41380</v>
      </c>
      <c r="C941" s="72">
        <v>28.97</v>
      </c>
      <c r="D941" s="71">
        <v>52793550</v>
      </c>
      <c r="E941" s="66" t="s">
        <v>81</v>
      </c>
      <c r="F941" s="16">
        <f t="shared" si="20"/>
        <v>72</v>
      </c>
      <c r="G941" s="67" cm="1">
        <f t="array" ref="G941">INDEX($B$5:$B$1012, F941)</f>
        <v>42633</v>
      </c>
      <c r="H941" s="69" cm="1">
        <f t="array" ref="H941">INDEX($C$5:$C$1012, F941)</f>
        <v>56.81</v>
      </c>
      <c r="I941" s="70" cm="1">
        <f t="array" ref="I941">INDEX($D$5:$D$1012, F941)</f>
        <v>17347740</v>
      </c>
    </row>
    <row r="942" spans="2:9" x14ac:dyDescent="0.2">
      <c r="B942" s="62">
        <v>41379</v>
      </c>
      <c r="C942" s="72">
        <v>28.69</v>
      </c>
      <c r="D942" s="71">
        <v>56325190</v>
      </c>
      <c r="E942" s="66" t="s">
        <v>81</v>
      </c>
      <c r="F942" s="16">
        <f t="shared" si="20"/>
        <v>71</v>
      </c>
      <c r="G942" s="67" cm="1">
        <f t="array" ref="G942">INDEX($B$5:$B$1012, F942)</f>
        <v>42634</v>
      </c>
      <c r="H942" s="69" cm="1">
        <f t="array" ref="H942">INDEX($C$5:$C$1012, F942)</f>
        <v>57.76</v>
      </c>
      <c r="I942" s="70" cm="1">
        <f t="array" ref="I942">INDEX($D$5:$D$1012, F942)</f>
        <v>33623490</v>
      </c>
    </row>
    <row r="943" spans="2:9" x14ac:dyDescent="0.2">
      <c r="B943" s="62">
        <v>41376</v>
      </c>
      <c r="C943" s="72">
        <v>28.79</v>
      </c>
      <c r="D943" s="71">
        <v>62882260</v>
      </c>
      <c r="E943" s="66" t="s">
        <v>81</v>
      </c>
      <c r="F943" s="16">
        <f t="shared" si="20"/>
        <v>70</v>
      </c>
      <c r="G943" s="67" cm="1">
        <f t="array" ref="G943">INDEX($B$5:$B$1012, F943)</f>
        <v>42635</v>
      </c>
      <c r="H943" s="69" cm="1">
        <f t="array" ref="H943">INDEX($C$5:$C$1012, F943)</f>
        <v>57.82</v>
      </c>
      <c r="I943" s="70" cm="1">
        <f t="array" ref="I943">INDEX($D$5:$D$1012, F943)</f>
        <v>19821760</v>
      </c>
    </row>
    <row r="944" spans="2:9" x14ac:dyDescent="0.2">
      <c r="B944" s="62">
        <v>41375</v>
      </c>
      <c r="C944" s="72">
        <v>28.934999999999999</v>
      </c>
      <c r="D944" s="71">
        <v>130892600</v>
      </c>
      <c r="E944" s="66" t="s">
        <v>81</v>
      </c>
      <c r="F944" s="16">
        <f t="shared" si="20"/>
        <v>69</v>
      </c>
      <c r="G944" s="67" cm="1">
        <f t="array" ref="G944">INDEX($B$5:$B$1012, F944)</f>
        <v>42636</v>
      </c>
      <c r="H944" s="69" cm="1">
        <f t="array" ref="H944">INDEX($C$5:$C$1012, F944)</f>
        <v>57.43</v>
      </c>
      <c r="I944" s="70" cm="1">
        <f t="array" ref="I944">INDEX($D$5:$D$1012, F944)</f>
        <v>19941140</v>
      </c>
    </row>
    <row r="945" spans="2:9" x14ac:dyDescent="0.2">
      <c r="B945" s="62">
        <v>41374</v>
      </c>
      <c r="C945" s="72">
        <v>30.28</v>
      </c>
      <c r="D945" s="71">
        <v>70932030</v>
      </c>
      <c r="E945" s="66" t="s">
        <v>81</v>
      </c>
      <c r="F945" s="16">
        <f t="shared" si="20"/>
        <v>68</v>
      </c>
      <c r="G945" s="67" cm="1">
        <f t="array" ref="G945">INDEX($B$5:$B$1012, F945)</f>
        <v>42639</v>
      </c>
      <c r="H945" s="69" cm="1">
        <f t="array" ref="H945">INDEX($C$5:$C$1012, F945)</f>
        <v>56.9</v>
      </c>
      <c r="I945" s="70" cm="1">
        <f t="array" ref="I945">INDEX($D$5:$D$1012, F945)</f>
        <v>21184750</v>
      </c>
    </row>
    <row r="946" spans="2:9" x14ac:dyDescent="0.2">
      <c r="B946" s="62">
        <v>41373</v>
      </c>
      <c r="C946" s="72">
        <v>29.61</v>
      </c>
      <c r="D946" s="71">
        <v>77730860</v>
      </c>
      <c r="E946" s="66" t="s">
        <v>81</v>
      </c>
      <c r="F946" s="16">
        <f t="shared" si="20"/>
        <v>67</v>
      </c>
      <c r="G946" s="67" cm="1">
        <f t="array" ref="G946">INDEX($B$5:$B$1012, F946)</f>
        <v>42640</v>
      </c>
      <c r="H946" s="69" cm="1">
        <f t="array" ref="H946">INDEX($C$5:$C$1012, F946)</f>
        <v>57.95</v>
      </c>
      <c r="I946" s="70" cm="1">
        <f t="array" ref="I946">INDEX($D$5:$D$1012, F946)</f>
        <v>28029780</v>
      </c>
    </row>
    <row r="947" spans="2:9" x14ac:dyDescent="0.2">
      <c r="B947" s="62">
        <v>41372</v>
      </c>
      <c r="C947" s="72">
        <v>28.59</v>
      </c>
      <c r="D947" s="71">
        <v>34759420</v>
      </c>
      <c r="E947" s="66" t="s">
        <v>81</v>
      </c>
      <c r="F947" s="16">
        <f t="shared" si="20"/>
        <v>66</v>
      </c>
      <c r="G947" s="67" cm="1">
        <f t="array" ref="G947">INDEX($B$5:$B$1012, F947)</f>
        <v>42641</v>
      </c>
      <c r="H947" s="69" cm="1">
        <f t="array" ref="H947">INDEX($C$5:$C$1012, F947)</f>
        <v>58.03</v>
      </c>
      <c r="I947" s="70" cm="1">
        <f t="array" ref="I947">INDEX($D$5:$D$1012, F947)</f>
        <v>20523320</v>
      </c>
    </row>
    <row r="948" spans="2:9" x14ac:dyDescent="0.2">
      <c r="B948" s="62">
        <v>41369</v>
      </c>
      <c r="C948" s="72">
        <v>28.7</v>
      </c>
      <c r="D948" s="71">
        <v>50924930</v>
      </c>
      <c r="E948" s="66" t="s">
        <v>81</v>
      </c>
      <c r="F948" s="16">
        <f t="shared" si="20"/>
        <v>65</v>
      </c>
      <c r="G948" s="67" cm="1">
        <f t="array" ref="G948">INDEX($B$5:$B$1012, F948)</f>
        <v>42642</v>
      </c>
      <c r="H948" s="69" cm="1">
        <f t="array" ref="H948">INDEX($C$5:$C$1012, F948)</f>
        <v>57.4</v>
      </c>
      <c r="I948" s="70" cm="1">
        <f t="array" ref="I948">INDEX($D$5:$D$1012, F948)</f>
        <v>25389600</v>
      </c>
    </row>
    <row r="949" spans="2:9" x14ac:dyDescent="0.2">
      <c r="B949" s="62">
        <v>41368</v>
      </c>
      <c r="C949" s="72">
        <v>28.594999999999999</v>
      </c>
      <c r="D949" s="71">
        <v>45261610</v>
      </c>
      <c r="E949" s="66" t="s">
        <v>81</v>
      </c>
      <c r="F949" s="16">
        <f t="shared" si="20"/>
        <v>64</v>
      </c>
      <c r="G949" s="67" cm="1">
        <f t="array" ref="G949">INDEX($B$5:$B$1012, F949)</f>
        <v>42643</v>
      </c>
      <c r="H949" s="69" cm="1">
        <f t="array" ref="H949">INDEX($C$5:$C$1012, F949)</f>
        <v>57.6</v>
      </c>
      <c r="I949" s="70" cm="1">
        <f t="array" ref="I949">INDEX($D$5:$D$1012, F949)</f>
        <v>29877820</v>
      </c>
    </row>
    <row r="950" spans="2:9" x14ac:dyDescent="0.2">
      <c r="B950" s="62">
        <v>41367</v>
      </c>
      <c r="C950" s="72">
        <v>28.56</v>
      </c>
      <c r="D950" s="71">
        <v>35046040</v>
      </c>
      <c r="E950" s="66" t="s">
        <v>81</v>
      </c>
      <c r="F950" s="16">
        <f t="shared" si="20"/>
        <v>63</v>
      </c>
      <c r="G950" s="67" cm="1">
        <f t="array" ref="G950">INDEX($B$5:$B$1012, F950)</f>
        <v>42646</v>
      </c>
      <c r="H950" s="69" cm="1">
        <f t="array" ref="H950">INDEX($C$5:$C$1012, F950)</f>
        <v>57.42</v>
      </c>
      <c r="I950" s="70" cm="1">
        <f t="array" ref="I950">INDEX($D$5:$D$1012, F950)</f>
        <v>19156410</v>
      </c>
    </row>
    <row r="951" spans="2:9" x14ac:dyDescent="0.2">
      <c r="B951" s="62">
        <v>41366</v>
      </c>
      <c r="C951" s="72">
        <v>28.8</v>
      </c>
      <c r="D951" s="71">
        <v>28319520</v>
      </c>
      <c r="E951" s="66" t="s">
        <v>81</v>
      </c>
      <c r="F951" s="16">
        <f t="shared" si="20"/>
        <v>62</v>
      </c>
      <c r="G951" s="67" cm="1">
        <f t="array" ref="G951">INDEX($B$5:$B$1012, F951)</f>
        <v>42647</v>
      </c>
      <c r="H951" s="69" cm="1">
        <f t="array" ref="H951">INDEX($C$5:$C$1012, F951)</f>
        <v>57.24</v>
      </c>
      <c r="I951" s="70" cm="1">
        <f t="array" ref="I951">INDEX($D$5:$D$1012, F951)</f>
        <v>20061950</v>
      </c>
    </row>
    <row r="952" spans="2:9" x14ac:dyDescent="0.2">
      <c r="B952" s="62">
        <v>41365</v>
      </c>
      <c r="C952" s="72">
        <v>28.61</v>
      </c>
      <c r="D952" s="71">
        <v>29085390</v>
      </c>
      <c r="E952" s="66" t="s">
        <v>81</v>
      </c>
      <c r="F952" s="16">
        <f t="shared" si="20"/>
        <v>61</v>
      </c>
      <c r="G952" s="67" cm="1">
        <f t="array" ref="G952">INDEX($B$5:$B$1012, F952)</f>
        <v>42648</v>
      </c>
      <c r="H952" s="69" cm="1">
        <f t="array" ref="H952">INDEX($C$5:$C$1012, F952)</f>
        <v>57.64</v>
      </c>
      <c r="I952" s="70" cm="1">
        <f t="array" ref="I952">INDEX($D$5:$D$1012, F952)</f>
        <v>16708620</v>
      </c>
    </row>
    <row r="953" spans="2:9" x14ac:dyDescent="0.2">
      <c r="B953" s="62">
        <v>41361</v>
      </c>
      <c r="C953" s="72">
        <v>28.605</v>
      </c>
      <c r="D953" s="71">
        <v>55453460</v>
      </c>
      <c r="E953" s="66" t="s">
        <v>81</v>
      </c>
      <c r="F953" s="16">
        <f t="shared" si="20"/>
        <v>60</v>
      </c>
      <c r="G953" s="67" cm="1">
        <f t="array" ref="G953">INDEX($B$5:$B$1012, F953)</f>
        <v>42649</v>
      </c>
      <c r="H953" s="69" cm="1">
        <f t="array" ref="H953">INDEX($C$5:$C$1012, F953)</f>
        <v>57.74</v>
      </c>
      <c r="I953" s="70" cm="1">
        <f t="array" ref="I953">INDEX($D$5:$D$1012, F953)</f>
        <v>16194470</v>
      </c>
    </row>
    <row r="954" spans="2:9" x14ac:dyDescent="0.2">
      <c r="B954" s="62">
        <v>41360</v>
      </c>
      <c r="C954" s="72">
        <v>28.37</v>
      </c>
      <c r="D954" s="71">
        <v>35894590</v>
      </c>
      <c r="E954" s="66" t="s">
        <v>81</v>
      </c>
      <c r="F954" s="16">
        <f t="shared" si="20"/>
        <v>59</v>
      </c>
      <c r="G954" s="67" cm="1">
        <f t="array" ref="G954">INDEX($B$5:$B$1012, F954)</f>
        <v>42650</v>
      </c>
      <c r="H954" s="69" cm="1">
        <f t="array" ref="H954">INDEX($C$5:$C$1012, F954)</f>
        <v>57.8</v>
      </c>
      <c r="I954" s="70" cm="1">
        <f t="array" ref="I954">INDEX($D$5:$D$1012, F954)</f>
        <v>20062440</v>
      </c>
    </row>
    <row r="955" spans="2:9" x14ac:dyDescent="0.2">
      <c r="B955" s="62">
        <v>41359</v>
      </c>
      <c r="C955" s="72">
        <v>28.155000000000001</v>
      </c>
      <c r="D955" s="71">
        <v>27822150</v>
      </c>
      <c r="E955" s="66" t="s">
        <v>81</v>
      </c>
      <c r="F955" s="16">
        <f t="shared" si="20"/>
        <v>58</v>
      </c>
      <c r="G955" s="67" cm="1">
        <f t="array" ref="G955">INDEX($B$5:$B$1012, F955)</f>
        <v>42653</v>
      </c>
      <c r="H955" s="69" cm="1">
        <f t="array" ref="H955">INDEX($C$5:$C$1012, F955)</f>
        <v>58.04</v>
      </c>
      <c r="I955" s="70" cm="1">
        <f t="array" ref="I955">INDEX($D$5:$D$1012, F955)</f>
        <v>18085830</v>
      </c>
    </row>
    <row r="956" spans="2:9" x14ac:dyDescent="0.2">
      <c r="B956" s="62">
        <v>41358</v>
      </c>
      <c r="C956" s="72">
        <v>28.16</v>
      </c>
      <c r="D956" s="71">
        <v>44153830</v>
      </c>
      <c r="E956" s="66" t="s">
        <v>81</v>
      </c>
      <c r="F956" s="16">
        <f t="shared" si="20"/>
        <v>57</v>
      </c>
      <c r="G956" s="67" cm="1">
        <f t="array" ref="G956">INDEX($B$5:$B$1012, F956)</f>
        <v>42654</v>
      </c>
      <c r="H956" s="69" cm="1">
        <f t="array" ref="H956">INDEX($C$5:$C$1012, F956)</f>
        <v>57.19</v>
      </c>
      <c r="I956" s="70" cm="1">
        <f t="array" ref="I956">INDEX($D$5:$D$1012, F956)</f>
        <v>26483780</v>
      </c>
    </row>
    <row r="957" spans="2:9" x14ac:dyDescent="0.2">
      <c r="B957" s="62">
        <v>41355</v>
      </c>
      <c r="C957" s="72">
        <v>28.25</v>
      </c>
      <c r="D957" s="71">
        <v>28688730</v>
      </c>
      <c r="E957" s="66" t="s">
        <v>81</v>
      </c>
      <c r="F957" s="16">
        <f t="shared" si="20"/>
        <v>56</v>
      </c>
      <c r="G957" s="67" cm="1">
        <f t="array" ref="G957">INDEX($B$5:$B$1012, F957)</f>
        <v>42655</v>
      </c>
      <c r="H957" s="69" cm="1">
        <f t="array" ref="H957">INDEX($C$5:$C$1012, F957)</f>
        <v>57.11</v>
      </c>
      <c r="I957" s="70" cm="1">
        <f t="array" ref="I957">INDEX($D$5:$D$1012, F957)</f>
        <v>22157100</v>
      </c>
    </row>
    <row r="958" spans="2:9" x14ac:dyDescent="0.2">
      <c r="B958" s="62">
        <v>41354</v>
      </c>
      <c r="C958" s="72">
        <v>28.11</v>
      </c>
      <c r="D958" s="71">
        <v>34232750</v>
      </c>
      <c r="E958" s="66" t="s">
        <v>81</v>
      </c>
      <c r="F958" s="16">
        <f t="shared" si="20"/>
        <v>55</v>
      </c>
      <c r="G958" s="67" cm="1">
        <f t="array" ref="G958">INDEX($B$5:$B$1012, F958)</f>
        <v>42656</v>
      </c>
      <c r="H958" s="69" cm="1">
        <f t="array" ref="H958">INDEX($C$5:$C$1012, F958)</f>
        <v>56.92</v>
      </c>
      <c r="I958" s="70" cm="1">
        <f t="array" ref="I958">INDEX($D$5:$D$1012, F958)</f>
        <v>25217590</v>
      </c>
    </row>
    <row r="959" spans="2:9" x14ac:dyDescent="0.2">
      <c r="B959" s="62">
        <v>41353</v>
      </c>
      <c r="C959" s="72">
        <v>28.315000000000001</v>
      </c>
      <c r="D959" s="71">
        <v>35446920</v>
      </c>
      <c r="E959" s="66" t="s">
        <v>81</v>
      </c>
      <c r="F959" s="16">
        <f t="shared" si="20"/>
        <v>54</v>
      </c>
      <c r="G959" s="67" cm="1">
        <f t="array" ref="G959">INDEX($B$5:$B$1012, F959)</f>
        <v>42657</v>
      </c>
      <c r="H959" s="69" cm="1">
        <f t="array" ref="H959">INDEX($C$5:$C$1012, F959)</f>
        <v>57.42</v>
      </c>
      <c r="I959" s="70" cm="1">
        <f t="array" ref="I959">INDEX($D$5:$D$1012, F959)</f>
        <v>27221480</v>
      </c>
    </row>
    <row r="960" spans="2:9" x14ac:dyDescent="0.2">
      <c r="B960" s="62">
        <v>41352</v>
      </c>
      <c r="C960" s="72">
        <v>28.18</v>
      </c>
      <c r="D960" s="71">
        <v>51893870</v>
      </c>
      <c r="E960" s="66" t="s">
        <v>81</v>
      </c>
      <c r="F960" s="16">
        <f t="shared" si="20"/>
        <v>53</v>
      </c>
      <c r="G960" s="67" cm="1">
        <f t="array" ref="G960">INDEX($B$5:$B$1012, F960)</f>
        <v>42660</v>
      </c>
      <c r="H960" s="69" cm="1">
        <f t="array" ref="H960">INDEX($C$5:$C$1012, F960)</f>
        <v>57.22</v>
      </c>
      <c r="I960" s="70" cm="1">
        <f t="array" ref="I960">INDEX($D$5:$D$1012, F960)</f>
        <v>23829490</v>
      </c>
    </row>
    <row r="961" spans="2:9" x14ac:dyDescent="0.2">
      <c r="B961" s="62">
        <v>41351</v>
      </c>
      <c r="C961" s="72">
        <v>28.1</v>
      </c>
      <c r="D961" s="71">
        <v>44821170</v>
      </c>
      <c r="E961" s="66" t="s">
        <v>81</v>
      </c>
      <c r="F961" s="16">
        <f t="shared" si="20"/>
        <v>52</v>
      </c>
      <c r="G961" s="67" cm="1">
        <f t="array" ref="G961">INDEX($B$5:$B$1012, F961)</f>
        <v>42661</v>
      </c>
      <c r="H961" s="69" cm="1">
        <f t="array" ref="H961">INDEX($C$5:$C$1012, F961)</f>
        <v>57.66</v>
      </c>
      <c r="I961" s="70" cm="1">
        <f t="array" ref="I961">INDEX($D$5:$D$1012, F961)</f>
        <v>18862790</v>
      </c>
    </row>
    <row r="962" spans="2:9" x14ac:dyDescent="0.2">
      <c r="B962" s="62">
        <v>41348</v>
      </c>
      <c r="C962" s="72">
        <v>28.035</v>
      </c>
      <c r="D962" s="71">
        <v>92679320</v>
      </c>
      <c r="E962" s="66" t="s">
        <v>81</v>
      </c>
      <c r="F962" s="16">
        <f t="shared" si="20"/>
        <v>51</v>
      </c>
      <c r="G962" s="67" cm="1">
        <f t="array" ref="G962">INDEX($B$5:$B$1012, F962)</f>
        <v>42662</v>
      </c>
      <c r="H962" s="69" cm="1">
        <f t="array" ref="H962">INDEX($C$5:$C$1012, F962)</f>
        <v>57.53</v>
      </c>
      <c r="I962" s="70" cm="1">
        <f t="array" ref="I962">INDEX($D$5:$D$1012, F962)</f>
        <v>22840410</v>
      </c>
    </row>
    <row r="963" spans="2:9" x14ac:dyDescent="0.2">
      <c r="B963" s="62">
        <v>41347</v>
      </c>
      <c r="C963" s="72">
        <v>28.135000000000002</v>
      </c>
      <c r="D963" s="71">
        <v>55909310</v>
      </c>
      <c r="E963" s="66" t="s">
        <v>81</v>
      </c>
      <c r="F963" s="16">
        <f t="shared" si="20"/>
        <v>50</v>
      </c>
      <c r="G963" s="67" cm="1">
        <f t="array" ref="G963">INDEX($B$5:$B$1012, F963)</f>
        <v>42663</v>
      </c>
      <c r="H963" s="69" cm="1">
        <f t="array" ref="H963">INDEX($C$5:$C$1012, F963)</f>
        <v>57.25</v>
      </c>
      <c r="I963" s="70" cm="1">
        <f t="array" ref="I963">INDEX($D$5:$D$1012, F963)</f>
        <v>48880910</v>
      </c>
    </row>
    <row r="964" spans="2:9" x14ac:dyDescent="0.2">
      <c r="B964" s="62">
        <v>41346</v>
      </c>
      <c r="C964" s="72">
        <v>27.914999999999999</v>
      </c>
      <c r="D964" s="71">
        <v>29037180</v>
      </c>
      <c r="E964" s="66" t="s">
        <v>81</v>
      </c>
      <c r="F964" s="16">
        <f t="shared" si="20"/>
        <v>49</v>
      </c>
      <c r="G964" s="67" cm="1">
        <f t="array" ref="G964">INDEX($B$5:$B$1012, F964)</f>
        <v>42664</v>
      </c>
      <c r="H964" s="69" cm="1">
        <f t="array" ref="H964">INDEX($C$5:$C$1012, F964)</f>
        <v>59.66</v>
      </c>
      <c r="I964" s="70" cm="1">
        <f t="array" ref="I964">INDEX($D$5:$D$1012, F964)</f>
        <v>80008400</v>
      </c>
    </row>
    <row r="965" spans="2:9" x14ac:dyDescent="0.2">
      <c r="B965" s="62">
        <v>41345</v>
      </c>
      <c r="C965" s="72">
        <v>27.91</v>
      </c>
      <c r="D965" s="71">
        <v>39249390</v>
      </c>
      <c r="E965" s="66" t="s">
        <v>81</v>
      </c>
      <c r="F965" s="16">
        <f t="shared" si="20"/>
        <v>48</v>
      </c>
      <c r="G965" s="67" cm="1">
        <f t="array" ref="G965">INDEX($B$5:$B$1012, F965)</f>
        <v>42667</v>
      </c>
      <c r="H965" s="69" cm="1">
        <f t="array" ref="H965">INDEX($C$5:$C$1012, F965)</f>
        <v>61</v>
      </c>
      <c r="I965" s="70" cm="1">
        <f t="array" ref="I965">INDEX($D$5:$D$1012, F965)</f>
        <v>54039610</v>
      </c>
    </row>
    <row r="966" spans="2:9" x14ac:dyDescent="0.2">
      <c r="B966" s="62">
        <v>41344</v>
      </c>
      <c r="C966" s="72">
        <v>27.87</v>
      </c>
      <c r="D966" s="71">
        <v>36623800</v>
      </c>
      <c r="E966" s="66" t="s">
        <v>81</v>
      </c>
      <c r="F966" s="16">
        <f t="shared" ref="F966:F1012" si="21">COUNT(B966:B1973)</f>
        <v>47</v>
      </c>
      <c r="G966" s="67" cm="1">
        <f t="array" ref="G966">INDEX($B$5:$B$1012, F966)</f>
        <v>42668</v>
      </c>
      <c r="H966" s="69" cm="1">
        <f t="array" ref="H966">INDEX($C$5:$C$1012, F966)</f>
        <v>60.99</v>
      </c>
      <c r="I966" s="70" cm="1">
        <f t="array" ref="I966">INDEX($D$5:$D$1012, F966)</f>
        <v>35119480</v>
      </c>
    </row>
    <row r="967" spans="2:9" x14ac:dyDescent="0.2">
      <c r="B967" s="62">
        <v>41341</v>
      </c>
      <c r="C967" s="72">
        <v>28</v>
      </c>
      <c r="D967" s="71">
        <v>37664330</v>
      </c>
      <c r="E967" s="66" t="s">
        <v>81</v>
      </c>
      <c r="F967" s="16">
        <f t="shared" si="21"/>
        <v>46</v>
      </c>
      <c r="G967" s="67" cm="1">
        <f t="array" ref="G967">INDEX($B$5:$B$1012, F967)</f>
        <v>42669</v>
      </c>
      <c r="H967" s="69" cm="1">
        <f t="array" ref="H967">INDEX($C$5:$C$1012, F967)</f>
        <v>60.63</v>
      </c>
      <c r="I967" s="70" cm="1">
        <f t="array" ref="I967">INDEX($D$5:$D$1012, F967)</f>
        <v>29908240</v>
      </c>
    </row>
    <row r="968" spans="2:9" x14ac:dyDescent="0.2">
      <c r="B968" s="62">
        <v>41340</v>
      </c>
      <c r="C968" s="72">
        <v>28.14</v>
      </c>
      <c r="D968" s="71">
        <v>29196490</v>
      </c>
      <c r="E968" s="66" t="s">
        <v>81</v>
      </c>
      <c r="F968" s="16">
        <f t="shared" si="21"/>
        <v>45</v>
      </c>
      <c r="G968" s="67" cm="1">
        <f t="array" ref="G968">INDEX($B$5:$B$1012, F968)</f>
        <v>42670</v>
      </c>
      <c r="H968" s="69" cm="1">
        <f t="array" ref="H968">INDEX($C$5:$C$1012, F968)</f>
        <v>60.1</v>
      </c>
      <c r="I968" s="70" cm="1">
        <f t="array" ref="I968">INDEX($D$5:$D$1012, F968)</f>
        <v>28444550</v>
      </c>
    </row>
    <row r="969" spans="2:9" x14ac:dyDescent="0.2">
      <c r="B969" s="62">
        <v>41339</v>
      </c>
      <c r="C969" s="72">
        <v>28.09</v>
      </c>
      <c r="D969" s="71">
        <v>51448250</v>
      </c>
      <c r="E969" s="66" t="s">
        <v>81</v>
      </c>
      <c r="F969" s="16">
        <f t="shared" si="21"/>
        <v>44</v>
      </c>
      <c r="G969" s="67" cm="1">
        <f t="array" ref="G969">INDEX($B$5:$B$1012, F969)</f>
        <v>42671</v>
      </c>
      <c r="H969" s="69" cm="1">
        <f t="array" ref="H969">INDEX($C$5:$C$1012, F969)</f>
        <v>59.87</v>
      </c>
      <c r="I969" s="70" cm="1">
        <f t="array" ref="I969">INDEX($D$5:$D$1012, F969)</f>
        <v>33569190</v>
      </c>
    </row>
    <row r="970" spans="2:9" x14ac:dyDescent="0.2">
      <c r="B970" s="62">
        <v>41338</v>
      </c>
      <c r="C970" s="72">
        <v>28.35</v>
      </c>
      <c r="D970" s="71">
        <v>41429520</v>
      </c>
      <c r="E970" s="66" t="s">
        <v>81</v>
      </c>
      <c r="F970" s="16">
        <f t="shared" si="21"/>
        <v>43</v>
      </c>
      <c r="G970" s="67" cm="1">
        <f t="array" ref="G970">INDEX($B$5:$B$1012, F970)</f>
        <v>42674</v>
      </c>
      <c r="H970" s="69" cm="1">
        <f t="array" ref="H970">INDEX($C$5:$C$1012, F970)</f>
        <v>59.92</v>
      </c>
      <c r="I970" s="70" cm="1">
        <f t="array" ref="I970">INDEX($D$5:$D$1012, F970)</f>
        <v>26418340</v>
      </c>
    </row>
    <row r="971" spans="2:9" x14ac:dyDescent="0.2">
      <c r="B971" s="62">
        <v>41337</v>
      </c>
      <c r="C971" s="72">
        <v>28.15</v>
      </c>
      <c r="D971" s="71">
        <v>37417700</v>
      </c>
      <c r="E971" s="66" t="s">
        <v>81</v>
      </c>
      <c r="F971" s="16">
        <f t="shared" si="21"/>
        <v>42</v>
      </c>
      <c r="G971" s="67" cm="1">
        <f t="array" ref="G971">INDEX($B$5:$B$1012, F971)</f>
        <v>42675</v>
      </c>
      <c r="H971" s="69" cm="1">
        <f t="array" ref="H971">INDEX($C$5:$C$1012, F971)</f>
        <v>59.8</v>
      </c>
      <c r="I971" s="70" cm="1">
        <f t="array" ref="I971">INDEX($D$5:$D$1012, F971)</f>
        <v>24474870</v>
      </c>
    </row>
    <row r="972" spans="2:9" x14ac:dyDescent="0.2">
      <c r="B972" s="62">
        <v>41334</v>
      </c>
      <c r="C972" s="72">
        <v>27.95</v>
      </c>
      <c r="D972" s="71">
        <v>34849290</v>
      </c>
      <c r="E972" s="66" t="s">
        <v>81</v>
      </c>
      <c r="F972" s="16">
        <f t="shared" si="21"/>
        <v>41</v>
      </c>
      <c r="G972" s="67" cm="1">
        <f t="array" ref="G972">INDEX($B$5:$B$1012, F972)</f>
        <v>42676</v>
      </c>
      <c r="H972" s="69" cm="1">
        <f t="array" ref="H972">INDEX($C$5:$C$1012, F972)</f>
        <v>59.43</v>
      </c>
      <c r="I972" s="70" cm="1">
        <f t="array" ref="I972">INDEX($D$5:$D$1012, F972)</f>
        <v>22118490</v>
      </c>
    </row>
    <row r="973" spans="2:9" x14ac:dyDescent="0.2">
      <c r="B973" s="62">
        <v>41333</v>
      </c>
      <c r="C973" s="72">
        <v>27.8</v>
      </c>
      <c r="D973" s="71">
        <v>35836860</v>
      </c>
      <c r="E973" s="66" t="s">
        <v>81</v>
      </c>
      <c r="F973" s="16">
        <f t="shared" si="21"/>
        <v>40</v>
      </c>
      <c r="G973" s="67" cm="1">
        <f t="array" ref="G973">INDEX($B$5:$B$1012, F973)</f>
        <v>42677</v>
      </c>
      <c r="H973" s="69" cm="1">
        <f t="array" ref="H973">INDEX($C$5:$C$1012, F973)</f>
        <v>59.21</v>
      </c>
      <c r="I973" s="70" cm="1">
        <f t="array" ref="I973">INDEX($D$5:$D$1012, F973)</f>
        <v>21448620</v>
      </c>
    </row>
    <row r="974" spans="2:9" x14ac:dyDescent="0.2">
      <c r="B974" s="62">
        <v>41332</v>
      </c>
      <c r="C974" s="72">
        <v>27.81</v>
      </c>
      <c r="D974" s="71">
        <v>36364200</v>
      </c>
      <c r="E974" s="66" t="s">
        <v>81</v>
      </c>
      <c r="F974" s="16">
        <f t="shared" si="21"/>
        <v>39</v>
      </c>
      <c r="G974" s="67" cm="1">
        <f t="array" ref="G974">INDEX($B$5:$B$1012, F974)</f>
        <v>42678</v>
      </c>
      <c r="H974" s="69" cm="1">
        <f t="array" ref="H974">INDEX($C$5:$C$1012, F974)</f>
        <v>58.71</v>
      </c>
      <c r="I974" s="70" cm="1">
        <f t="array" ref="I974">INDEX($D$5:$D$1012, F974)</f>
        <v>28693430</v>
      </c>
    </row>
    <row r="975" spans="2:9" x14ac:dyDescent="0.2">
      <c r="B975" s="62">
        <v>41331</v>
      </c>
      <c r="C975" s="72">
        <v>27.37</v>
      </c>
      <c r="D975" s="71">
        <v>49916760</v>
      </c>
      <c r="E975" s="66" t="s">
        <v>81</v>
      </c>
      <c r="F975" s="16">
        <f t="shared" si="21"/>
        <v>38</v>
      </c>
      <c r="G975" s="67" cm="1">
        <f t="array" ref="G975">INDEX($B$5:$B$1012, F975)</f>
        <v>42681</v>
      </c>
      <c r="H975" s="69" cm="1">
        <f t="array" ref="H975">INDEX($C$5:$C$1012, F975)</f>
        <v>60.42</v>
      </c>
      <c r="I975" s="70" cm="1">
        <f t="array" ref="I975">INDEX($D$5:$D$1012, F975)</f>
        <v>31652340</v>
      </c>
    </row>
    <row r="976" spans="2:9" x14ac:dyDescent="0.2">
      <c r="B976" s="62">
        <v>41330</v>
      </c>
      <c r="C976" s="72">
        <v>27.37</v>
      </c>
      <c r="D976" s="71">
        <v>48010290</v>
      </c>
      <c r="E976" s="66" t="s">
        <v>81</v>
      </c>
      <c r="F976" s="16">
        <f t="shared" si="21"/>
        <v>37</v>
      </c>
      <c r="G976" s="67" cm="1">
        <f t="array" ref="G976">INDEX($B$5:$B$1012, F976)</f>
        <v>42682</v>
      </c>
      <c r="H976" s="69" cm="1">
        <f t="array" ref="H976">INDEX($C$5:$C$1012, F976)</f>
        <v>60.47</v>
      </c>
      <c r="I976" s="70" cm="1">
        <f t="array" ref="I976">INDEX($D$5:$D$1012, F976)</f>
        <v>22923800</v>
      </c>
    </row>
    <row r="977" spans="2:9" x14ac:dyDescent="0.2">
      <c r="B977" s="62">
        <v>41327</v>
      </c>
      <c r="C977" s="72">
        <v>27.76</v>
      </c>
      <c r="D977" s="71">
        <v>31425530</v>
      </c>
      <c r="E977" s="66" t="s">
        <v>81</v>
      </c>
      <c r="F977" s="16">
        <f t="shared" si="21"/>
        <v>36</v>
      </c>
      <c r="G977" s="67" cm="1">
        <f t="array" ref="G977">INDEX($B$5:$B$1012, F977)</f>
        <v>42683</v>
      </c>
      <c r="H977" s="69" cm="1">
        <f t="array" ref="H977">INDEX($C$5:$C$1012, F977)</f>
        <v>60.17</v>
      </c>
      <c r="I977" s="70" cm="1">
        <f t="array" ref="I977">INDEX($D$5:$D$1012, F977)</f>
        <v>49588490</v>
      </c>
    </row>
    <row r="978" spans="2:9" x14ac:dyDescent="0.2">
      <c r="B978" s="62">
        <v>41326</v>
      </c>
      <c r="C978" s="72">
        <v>27.49</v>
      </c>
      <c r="D978" s="71">
        <v>49023360</v>
      </c>
      <c r="E978" s="66" t="s">
        <v>81</v>
      </c>
      <c r="F978" s="16">
        <f t="shared" si="21"/>
        <v>35</v>
      </c>
      <c r="G978" s="67" cm="1">
        <f t="array" ref="G978">INDEX($B$5:$B$1012, F978)</f>
        <v>42684</v>
      </c>
      <c r="H978" s="69" cm="1">
        <f t="array" ref="H978">INDEX($C$5:$C$1012, F978)</f>
        <v>58.7</v>
      </c>
      <c r="I978" s="70" cm="1">
        <f t="array" ref="I978">INDEX($D$5:$D$1012, F978)</f>
        <v>57770560</v>
      </c>
    </row>
    <row r="979" spans="2:9" x14ac:dyDescent="0.2">
      <c r="B979" s="62">
        <v>41325</v>
      </c>
      <c r="C979" s="72">
        <v>27.87</v>
      </c>
      <c r="D979" s="71">
        <v>44100870</v>
      </c>
      <c r="E979" s="66" t="s">
        <v>81</v>
      </c>
      <c r="F979" s="16">
        <f t="shared" si="21"/>
        <v>34</v>
      </c>
      <c r="G979" s="67" cm="1">
        <f t="array" ref="G979">INDEX($B$5:$B$1012, F979)</f>
        <v>42685</v>
      </c>
      <c r="H979" s="69" cm="1">
        <f t="array" ref="H979">INDEX($C$5:$C$1012, F979)</f>
        <v>59.02</v>
      </c>
      <c r="I979" s="70" cm="1">
        <f t="array" ref="I979">INDEX($D$5:$D$1012, F979)</f>
        <v>35932400</v>
      </c>
    </row>
    <row r="980" spans="2:9" x14ac:dyDescent="0.2">
      <c r="B980" s="62">
        <v>41324</v>
      </c>
      <c r="C980" s="72">
        <v>28.045000000000002</v>
      </c>
      <c r="D980" s="71">
        <v>38803920</v>
      </c>
      <c r="E980" s="66" t="s">
        <v>81</v>
      </c>
      <c r="F980" s="16">
        <f t="shared" si="21"/>
        <v>33</v>
      </c>
      <c r="G980" s="67" cm="1">
        <f t="array" ref="G980">INDEX($B$5:$B$1012, F980)</f>
        <v>42688</v>
      </c>
      <c r="H980" s="69" cm="1">
        <f t="array" ref="H980">INDEX($C$5:$C$1012, F980)</f>
        <v>58.12</v>
      </c>
      <c r="I980" s="70" cm="1">
        <f t="array" ref="I980">INDEX($D$5:$D$1012, F980)</f>
        <v>41248640</v>
      </c>
    </row>
    <row r="981" spans="2:9" x14ac:dyDescent="0.2">
      <c r="B981" s="62">
        <v>41320</v>
      </c>
      <c r="C981" s="72">
        <v>28.01</v>
      </c>
      <c r="D981" s="71">
        <v>49591860</v>
      </c>
      <c r="E981" s="66" t="s">
        <v>81</v>
      </c>
      <c r="F981" s="16">
        <f t="shared" si="21"/>
        <v>32</v>
      </c>
      <c r="G981" s="67" cm="1">
        <f t="array" ref="G981">INDEX($B$5:$B$1012, F981)</f>
        <v>42689</v>
      </c>
      <c r="H981" s="69" cm="1">
        <f t="array" ref="H981">INDEX($C$5:$C$1012, F981)</f>
        <v>58.87</v>
      </c>
      <c r="I981" s="70" cm="1">
        <f t="array" ref="I981">INDEX($D$5:$D$1012, F981)</f>
        <v>35850360</v>
      </c>
    </row>
    <row r="982" spans="2:9" x14ac:dyDescent="0.2">
      <c r="B982" s="62">
        <v>41319</v>
      </c>
      <c r="C982" s="72">
        <v>28.04</v>
      </c>
      <c r="D982" s="71">
        <v>32663010</v>
      </c>
      <c r="E982" s="66" t="s">
        <v>81</v>
      </c>
      <c r="F982" s="16">
        <f t="shared" si="21"/>
        <v>31</v>
      </c>
      <c r="G982" s="67" cm="1">
        <f t="array" ref="G982">INDEX($B$5:$B$1012, F982)</f>
        <v>42690</v>
      </c>
      <c r="H982" s="69" cm="1">
        <f t="array" ref="H982">INDEX($C$5:$C$1012, F982)</f>
        <v>59.65</v>
      </c>
      <c r="I982" s="70" cm="1">
        <f t="array" ref="I982">INDEX($D$5:$D$1012, F982)</f>
        <v>27329530</v>
      </c>
    </row>
    <row r="983" spans="2:9" x14ac:dyDescent="0.2">
      <c r="B983" s="62">
        <v>41318</v>
      </c>
      <c r="C983" s="72">
        <v>28.03</v>
      </c>
      <c r="D983" s="71">
        <v>41714330</v>
      </c>
      <c r="E983" s="66" t="s">
        <v>81</v>
      </c>
      <c r="F983" s="16">
        <f t="shared" si="21"/>
        <v>30</v>
      </c>
      <c r="G983" s="67" cm="1">
        <f t="array" ref="G983">INDEX($B$5:$B$1012, F983)</f>
        <v>42691</v>
      </c>
      <c r="H983" s="69" cm="1">
        <f t="array" ref="H983">INDEX($C$5:$C$1012, F983)</f>
        <v>60.64</v>
      </c>
      <c r="I983" s="70" cm="1">
        <f t="array" ref="I983">INDEX($D$5:$D$1012, F983)</f>
        <v>32084890</v>
      </c>
    </row>
    <row r="984" spans="2:9" x14ac:dyDescent="0.2">
      <c r="B984" s="62">
        <v>41317</v>
      </c>
      <c r="C984" s="72">
        <v>27.88</v>
      </c>
      <c r="D984" s="71">
        <v>35989330</v>
      </c>
      <c r="E984" s="66" t="s">
        <v>81</v>
      </c>
      <c r="F984" s="16">
        <f t="shared" si="21"/>
        <v>29</v>
      </c>
      <c r="G984" s="67" cm="1">
        <f t="array" ref="G984">INDEX($B$5:$B$1012, F984)</f>
        <v>42692</v>
      </c>
      <c r="H984" s="69" cm="1">
        <f t="array" ref="H984">INDEX($C$5:$C$1012, F984)</f>
        <v>60.35</v>
      </c>
      <c r="I984" s="70" cm="1">
        <f t="array" ref="I984">INDEX($D$5:$D$1012, F984)</f>
        <v>27210170</v>
      </c>
    </row>
    <row r="985" spans="2:9" x14ac:dyDescent="0.2">
      <c r="B985" s="62">
        <v>41316</v>
      </c>
      <c r="C985" s="72">
        <v>27.86</v>
      </c>
      <c r="D985" s="71">
        <v>32247360</v>
      </c>
      <c r="E985" s="66" t="s">
        <v>81</v>
      </c>
      <c r="F985" s="16">
        <f t="shared" si="21"/>
        <v>28</v>
      </c>
      <c r="G985" s="67" cm="1">
        <f t="array" ref="G985">INDEX($B$5:$B$1012, F985)</f>
        <v>42695</v>
      </c>
      <c r="H985" s="69" cm="1">
        <f t="array" ref="H985">INDEX($C$5:$C$1012, F985)</f>
        <v>60.86</v>
      </c>
      <c r="I985" s="70" cm="1">
        <f t="array" ref="I985">INDEX($D$5:$D$1012, F985)</f>
        <v>19638240</v>
      </c>
    </row>
    <row r="986" spans="2:9" x14ac:dyDescent="0.2">
      <c r="B986" s="62">
        <v>41313</v>
      </c>
      <c r="C986" s="72">
        <v>27.55</v>
      </c>
      <c r="D986" s="71">
        <v>33318310</v>
      </c>
      <c r="E986" s="66" t="s">
        <v>81</v>
      </c>
      <c r="F986" s="16">
        <f t="shared" si="21"/>
        <v>27</v>
      </c>
      <c r="G986" s="67" cm="1">
        <f t="array" ref="G986">INDEX($B$5:$B$1012, F986)</f>
        <v>42696</v>
      </c>
      <c r="H986" s="69" cm="1">
        <f t="array" ref="H986">INDEX($C$5:$C$1012, F986)</f>
        <v>61.12</v>
      </c>
      <c r="I986" s="70" cm="1">
        <f t="array" ref="I986">INDEX($D$5:$D$1012, F986)</f>
        <v>23205870</v>
      </c>
    </row>
    <row r="987" spans="2:9" x14ac:dyDescent="0.2">
      <c r="B987" s="62">
        <v>41312</v>
      </c>
      <c r="C987" s="72">
        <v>27.283000000000001</v>
      </c>
      <c r="D987" s="71">
        <v>38007050</v>
      </c>
      <c r="E987" s="66" t="s">
        <v>81</v>
      </c>
      <c r="F987" s="16">
        <f t="shared" si="21"/>
        <v>26</v>
      </c>
      <c r="G987" s="67" cm="1">
        <f t="array" ref="G987">INDEX($B$5:$B$1012, F987)</f>
        <v>42697</v>
      </c>
      <c r="H987" s="69" cm="1">
        <f t="array" ref="H987">INDEX($C$5:$C$1012, F987)</f>
        <v>60.4</v>
      </c>
      <c r="I987" s="70" cm="1">
        <f t="array" ref="I987">INDEX($D$5:$D$1012, F987)</f>
        <v>21847500</v>
      </c>
    </row>
    <row r="988" spans="2:9" x14ac:dyDescent="0.2">
      <c r="B988" s="62">
        <v>41311</v>
      </c>
      <c r="C988" s="72">
        <v>27.34</v>
      </c>
      <c r="D988" s="71">
        <v>41750840</v>
      </c>
      <c r="E988" s="66" t="s">
        <v>81</v>
      </c>
      <c r="F988" s="16">
        <f t="shared" si="21"/>
        <v>25</v>
      </c>
      <c r="G988" s="67" cm="1">
        <f t="array" ref="G988">INDEX($B$5:$B$1012, F988)</f>
        <v>42699</v>
      </c>
      <c r="H988" s="69" cm="1">
        <f t="array" ref="H988">INDEX($C$5:$C$1012, F988)</f>
        <v>60.53</v>
      </c>
      <c r="I988" s="70" cm="1">
        <f t="array" ref="I988">INDEX($D$5:$D$1012, F988)</f>
        <v>8409616</v>
      </c>
    </row>
    <row r="989" spans="2:9" x14ac:dyDescent="0.2">
      <c r="B989" s="62">
        <v>41310</v>
      </c>
      <c r="C989" s="72">
        <v>27.495000000000001</v>
      </c>
      <c r="D989" s="71">
        <v>35367310</v>
      </c>
      <c r="E989" s="66" t="s">
        <v>81</v>
      </c>
      <c r="F989" s="16">
        <f t="shared" si="21"/>
        <v>24</v>
      </c>
      <c r="G989" s="67" cm="1">
        <f t="array" ref="G989">INDEX($B$5:$B$1012, F989)</f>
        <v>42702</v>
      </c>
      <c r="H989" s="69" cm="1">
        <f t="array" ref="H989">INDEX($C$5:$C$1012, F989)</f>
        <v>60.61</v>
      </c>
      <c r="I989" s="70" cm="1">
        <f t="array" ref="I989">INDEX($D$5:$D$1012, F989)</f>
        <v>20604370</v>
      </c>
    </row>
    <row r="990" spans="2:9" x14ac:dyDescent="0.2">
      <c r="B990" s="62">
        <v>41309</v>
      </c>
      <c r="C990" s="72">
        <v>27.44</v>
      </c>
      <c r="D990" s="71">
        <v>50508670</v>
      </c>
      <c r="E990" s="66" t="s">
        <v>81</v>
      </c>
      <c r="F990" s="16">
        <f t="shared" si="21"/>
        <v>23</v>
      </c>
      <c r="G990" s="67" cm="1">
        <f t="array" ref="G990">INDEX($B$5:$B$1012, F990)</f>
        <v>42703</v>
      </c>
      <c r="H990" s="69" cm="1">
        <f t="array" ref="H990">INDEX($C$5:$C$1012, F990)</f>
        <v>61.09</v>
      </c>
      <c r="I990" s="70" cm="1">
        <f t="array" ref="I990">INDEX($D$5:$D$1012, F990)</f>
        <v>22365860</v>
      </c>
    </row>
    <row r="991" spans="2:9" x14ac:dyDescent="0.2">
      <c r="B991" s="62">
        <v>41306</v>
      </c>
      <c r="C991" s="72">
        <v>27.93</v>
      </c>
      <c r="D991" s="71">
        <v>55548860</v>
      </c>
      <c r="E991" s="66" t="s">
        <v>81</v>
      </c>
      <c r="F991" s="16">
        <f t="shared" si="21"/>
        <v>22</v>
      </c>
      <c r="G991" s="67" cm="1">
        <f t="array" ref="G991">INDEX($B$5:$B$1012, F991)</f>
        <v>42704</v>
      </c>
      <c r="H991" s="69" cm="1">
        <f t="array" ref="H991">INDEX($C$5:$C$1012, F991)</f>
        <v>60.26</v>
      </c>
      <c r="I991" s="70" cm="1">
        <f t="array" ref="I991">INDEX($D$5:$D$1012, F991)</f>
        <v>34641520</v>
      </c>
    </row>
    <row r="992" spans="2:9" x14ac:dyDescent="0.2">
      <c r="B992" s="62">
        <v>41305</v>
      </c>
      <c r="C992" s="72">
        <v>27.45</v>
      </c>
      <c r="D992" s="71">
        <v>50524770</v>
      </c>
      <c r="E992" s="66" t="s">
        <v>81</v>
      </c>
      <c r="F992" s="16">
        <f t="shared" si="21"/>
        <v>21</v>
      </c>
      <c r="G992" s="67" cm="1">
        <f t="array" ref="G992">INDEX($B$5:$B$1012, F992)</f>
        <v>42705</v>
      </c>
      <c r="H992" s="69" cm="1">
        <f t="array" ref="H992">INDEX($C$5:$C$1012, F992)</f>
        <v>59.2</v>
      </c>
      <c r="I992" s="70" cm="1">
        <f t="array" ref="I992">INDEX($D$5:$D$1012, F992)</f>
        <v>34518030</v>
      </c>
    </row>
    <row r="993" spans="2:9" x14ac:dyDescent="0.2">
      <c r="B993" s="62">
        <v>41304</v>
      </c>
      <c r="C993" s="72">
        <v>27.85</v>
      </c>
      <c r="D993" s="71">
        <v>43571210</v>
      </c>
      <c r="E993" s="66" t="s">
        <v>81</v>
      </c>
      <c r="F993" s="16">
        <f t="shared" si="21"/>
        <v>20</v>
      </c>
      <c r="G993" s="67" cm="1">
        <f t="array" ref="G993">INDEX($B$5:$B$1012, F993)</f>
        <v>42706</v>
      </c>
      <c r="H993" s="69" cm="1">
        <f t="array" ref="H993">INDEX($C$5:$C$1012, F993)</f>
        <v>59.25</v>
      </c>
      <c r="I993" s="70" cm="1">
        <f t="array" ref="I993">INDEX($D$5:$D$1012, F993)</f>
        <v>25464230</v>
      </c>
    </row>
    <row r="994" spans="2:9" x14ac:dyDescent="0.2">
      <c r="B994" s="62">
        <v>41303</v>
      </c>
      <c r="C994" s="72">
        <v>28.01</v>
      </c>
      <c r="D994" s="71">
        <v>49234080</v>
      </c>
      <c r="E994" s="66" t="s">
        <v>81</v>
      </c>
      <c r="F994" s="16">
        <f t="shared" si="21"/>
        <v>19</v>
      </c>
      <c r="G994" s="67" cm="1">
        <f t="array" ref="G994">INDEX($B$5:$B$1012, F994)</f>
        <v>42709</v>
      </c>
      <c r="H994" s="69" cm="1">
        <f t="array" ref="H994">INDEX($C$5:$C$1012, F994)</f>
        <v>60.22</v>
      </c>
      <c r="I994" s="70" cm="1">
        <f t="array" ref="I994">INDEX($D$5:$D$1012, F994)</f>
        <v>23552030</v>
      </c>
    </row>
    <row r="995" spans="2:9" x14ac:dyDescent="0.2">
      <c r="B995" s="62">
        <v>41302</v>
      </c>
      <c r="C995" s="72">
        <v>27.911000000000001</v>
      </c>
      <c r="D995" s="71">
        <v>56054570</v>
      </c>
      <c r="E995" s="66" t="s">
        <v>81</v>
      </c>
      <c r="F995" s="16">
        <f t="shared" si="21"/>
        <v>18</v>
      </c>
      <c r="G995" s="67" cm="1">
        <f t="array" ref="G995">INDEX($B$5:$B$1012, F995)</f>
        <v>42710</v>
      </c>
      <c r="H995" s="69" cm="1">
        <f t="array" ref="H995">INDEX($C$5:$C$1012, F995)</f>
        <v>59.95</v>
      </c>
      <c r="I995" s="70" cm="1">
        <f t="array" ref="I995">INDEX($D$5:$D$1012, F995)</f>
        <v>19966340</v>
      </c>
    </row>
    <row r="996" spans="2:9" x14ac:dyDescent="0.2">
      <c r="B996" s="62">
        <v>41299</v>
      </c>
      <c r="C996" s="72">
        <v>27.88</v>
      </c>
      <c r="D996" s="71">
        <v>81814260</v>
      </c>
      <c r="E996" s="66" t="s">
        <v>81</v>
      </c>
      <c r="F996" s="16">
        <f t="shared" si="21"/>
        <v>17</v>
      </c>
      <c r="G996" s="67" cm="1">
        <f t="array" ref="G996">INDEX($B$5:$B$1012, F996)</f>
        <v>42711</v>
      </c>
      <c r="H996" s="69" cm="1">
        <f t="array" ref="H996">INDEX($C$5:$C$1012, F996)</f>
        <v>61.37</v>
      </c>
      <c r="I996" s="70" cm="1">
        <f t="array" ref="I996">INDEX($D$5:$D$1012, F996)</f>
        <v>30807320</v>
      </c>
    </row>
    <row r="997" spans="2:9" x14ac:dyDescent="0.2">
      <c r="B997" s="62">
        <v>41298</v>
      </c>
      <c r="C997" s="72">
        <v>27.63</v>
      </c>
      <c r="D997" s="71">
        <v>101321400</v>
      </c>
      <c r="E997" s="66" t="s">
        <v>81</v>
      </c>
      <c r="F997" s="16">
        <f t="shared" si="21"/>
        <v>16</v>
      </c>
      <c r="G997" s="67" cm="1">
        <f t="array" ref="G997">INDEX($B$5:$B$1012, F997)</f>
        <v>42712</v>
      </c>
      <c r="H997" s="69" cm="1">
        <f t="array" ref="H997">INDEX($C$5:$C$1012, F997)</f>
        <v>61.01</v>
      </c>
      <c r="I997" s="70" cm="1">
        <f t="array" ref="I997">INDEX($D$5:$D$1012, F997)</f>
        <v>21201400</v>
      </c>
    </row>
    <row r="998" spans="2:9" x14ac:dyDescent="0.2">
      <c r="B998" s="62">
        <v>41297</v>
      </c>
      <c r="C998" s="72">
        <v>27.61</v>
      </c>
      <c r="D998" s="71">
        <v>50288930</v>
      </c>
      <c r="E998" s="66" t="s">
        <v>81</v>
      </c>
      <c r="F998" s="16">
        <f t="shared" si="21"/>
        <v>15</v>
      </c>
      <c r="G998" s="67" cm="1">
        <f t="array" ref="G998">INDEX($B$5:$B$1012, F998)</f>
        <v>42713</v>
      </c>
      <c r="H998" s="69" cm="1">
        <f t="array" ref="H998">INDEX($C$5:$C$1012, F998)</f>
        <v>61.97</v>
      </c>
      <c r="I998" s="70" cm="1">
        <f t="array" ref="I998">INDEX($D$5:$D$1012, F998)</f>
        <v>27337160</v>
      </c>
    </row>
    <row r="999" spans="2:9" x14ac:dyDescent="0.2">
      <c r="B999" s="62">
        <v>41296</v>
      </c>
      <c r="C999" s="72">
        <v>27.15</v>
      </c>
      <c r="D999" s="71">
        <v>58642390</v>
      </c>
      <c r="E999" s="66" t="s">
        <v>81</v>
      </c>
      <c r="F999" s="16">
        <f t="shared" si="21"/>
        <v>14</v>
      </c>
      <c r="G999" s="67" cm="1">
        <f t="array" ref="G999">INDEX($B$5:$B$1012, F999)</f>
        <v>42716</v>
      </c>
      <c r="H999" s="69" cm="1">
        <f t="array" ref="H999">INDEX($C$5:$C$1012, F999)</f>
        <v>62.17</v>
      </c>
      <c r="I999" s="70" cm="1">
        <f t="array" ref="I999">INDEX($D$5:$D$1012, F999)</f>
        <v>20186390</v>
      </c>
    </row>
    <row r="1000" spans="2:9" x14ac:dyDescent="0.2">
      <c r="B1000" s="62">
        <v>41292</v>
      </c>
      <c r="C1000" s="72">
        <v>27.25</v>
      </c>
      <c r="D1000" s="71">
        <v>52165050</v>
      </c>
      <c r="E1000" s="66" t="s">
        <v>81</v>
      </c>
      <c r="F1000" s="16">
        <f t="shared" si="21"/>
        <v>13</v>
      </c>
      <c r="G1000" s="67" cm="1">
        <f t="array" ref="G1000">INDEX($B$5:$B$1012, F1000)</f>
        <v>42717</v>
      </c>
      <c r="H1000" s="69" cm="1">
        <f t="array" ref="H1000">INDEX($C$5:$C$1012, F1000)</f>
        <v>62.98</v>
      </c>
      <c r="I1000" s="70" cm="1">
        <f t="array" ref="I1000">INDEX($D$5:$D$1012, F1000)</f>
        <v>35072050</v>
      </c>
    </row>
    <row r="1001" spans="2:9" x14ac:dyDescent="0.2">
      <c r="B1001" s="62">
        <v>41291</v>
      </c>
      <c r="C1001" s="72">
        <v>27.25</v>
      </c>
      <c r="D1001" s="71">
        <v>51647220</v>
      </c>
      <c r="E1001" s="66" t="s">
        <v>81</v>
      </c>
      <c r="F1001" s="16">
        <f t="shared" si="21"/>
        <v>12</v>
      </c>
      <c r="G1001" s="67" cm="1">
        <f t="array" ref="G1001">INDEX($B$5:$B$1012, F1001)</f>
        <v>42718</v>
      </c>
      <c r="H1001" s="69" cm="1">
        <f t="array" ref="H1001">INDEX($C$5:$C$1012, F1001)</f>
        <v>62.68</v>
      </c>
      <c r="I1001" s="70" cm="1">
        <f t="array" ref="I1001">INDEX($D$5:$D$1012, F1001)</f>
        <v>30335770</v>
      </c>
    </row>
    <row r="1002" spans="2:9" x14ac:dyDescent="0.2">
      <c r="B1002" s="62">
        <v>41290</v>
      </c>
      <c r="C1002" s="72">
        <v>27.04</v>
      </c>
      <c r="D1002" s="71">
        <v>41062810</v>
      </c>
      <c r="E1002" s="66" t="s">
        <v>81</v>
      </c>
      <c r="F1002" s="16">
        <f t="shared" si="21"/>
        <v>11</v>
      </c>
      <c r="G1002" s="67" cm="1">
        <f t="array" ref="G1002">INDEX($B$5:$B$1012, F1002)</f>
        <v>42719</v>
      </c>
      <c r="H1002" s="69" cm="1">
        <f t="array" ref="H1002">INDEX($C$5:$C$1012, F1002)</f>
        <v>62.58</v>
      </c>
      <c r="I1002" s="70" cm="1">
        <f t="array" ref="I1002">INDEX($D$5:$D$1012, F1002)</f>
        <v>27661180</v>
      </c>
    </row>
    <row r="1003" spans="2:9" x14ac:dyDescent="0.2">
      <c r="B1003" s="62">
        <v>41289</v>
      </c>
      <c r="C1003" s="72">
        <v>27.21</v>
      </c>
      <c r="D1003" s="71">
        <v>48224440</v>
      </c>
      <c r="E1003" s="66" t="s">
        <v>81</v>
      </c>
      <c r="F1003" s="16">
        <f t="shared" si="21"/>
        <v>10</v>
      </c>
      <c r="G1003" s="67" cm="1">
        <f t="array" ref="G1003">INDEX($B$5:$B$1012, F1003)</f>
        <v>42720</v>
      </c>
      <c r="H1003" s="69" cm="1">
        <f t="array" ref="H1003">INDEX($C$5:$C$1012, F1003)</f>
        <v>62.3</v>
      </c>
      <c r="I1003" s="70" cm="1">
        <f t="array" ref="I1003">INDEX($D$5:$D$1012, F1003)</f>
        <v>42452660</v>
      </c>
    </row>
    <row r="1004" spans="2:9" x14ac:dyDescent="0.2">
      <c r="B1004" s="62">
        <v>41288</v>
      </c>
      <c r="C1004" s="72">
        <v>26.89</v>
      </c>
      <c r="D1004" s="71">
        <v>48303430</v>
      </c>
      <c r="E1004" s="66" t="s">
        <v>81</v>
      </c>
      <c r="F1004" s="16">
        <f t="shared" si="21"/>
        <v>9</v>
      </c>
      <c r="G1004" s="67" cm="1">
        <f t="array" ref="G1004">INDEX($B$5:$B$1012, F1004)</f>
        <v>42723</v>
      </c>
      <c r="H1004" s="69" cm="1">
        <f t="array" ref="H1004">INDEX($C$5:$C$1012, F1004)</f>
        <v>63.62</v>
      </c>
      <c r="I1004" s="70" cm="1">
        <f t="array" ref="I1004">INDEX($D$5:$D$1012, F1004)</f>
        <v>34318500</v>
      </c>
    </row>
    <row r="1005" spans="2:9" x14ac:dyDescent="0.2">
      <c r="B1005" s="62">
        <v>41285</v>
      </c>
      <c r="C1005" s="72">
        <v>26.83</v>
      </c>
      <c r="D1005" s="71">
        <v>55510590</v>
      </c>
      <c r="E1005" s="66" t="s">
        <v>81</v>
      </c>
      <c r="F1005" s="16">
        <f t="shared" si="21"/>
        <v>8</v>
      </c>
      <c r="G1005" s="67" cm="1">
        <f t="array" ref="G1005">INDEX($B$5:$B$1012, F1005)</f>
        <v>42724</v>
      </c>
      <c r="H1005" s="69" cm="1">
        <f t="array" ref="H1005">INDEX($C$5:$C$1012, F1005)</f>
        <v>63.54</v>
      </c>
      <c r="I1005" s="70" cm="1">
        <f t="array" ref="I1005">INDEX($D$5:$D$1012, F1005)</f>
        <v>26017470</v>
      </c>
    </row>
    <row r="1006" spans="2:9" x14ac:dyDescent="0.2">
      <c r="B1006" s="62">
        <v>41284</v>
      </c>
      <c r="C1006" s="72">
        <v>26.46</v>
      </c>
      <c r="D1006" s="71">
        <v>71400650</v>
      </c>
      <c r="E1006" s="66" t="s">
        <v>81</v>
      </c>
      <c r="F1006" s="16">
        <f t="shared" si="21"/>
        <v>7</v>
      </c>
      <c r="G1006" s="67" cm="1">
        <f t="array" ref="G1006">INDEX($B$5:$B$1012, F1006)</f>
        <v>42725</v>
      </c>
      <c r="H1006" s="69" cm="1">
        <f t="array" ref="H1006">INDEX($C$5:$C$1012, F1006)</f>
        <v>63.54</v>
      </c>
      <c r="I1006" s="70" cm="1">
        <f t="array" ref="I1006">INDEX($D$5:$D$1012, F1006)</f>
        <v>17084370</v>
      </c>
    </row>
    <row r="1007" spans="2:9" x14ac:dyDescent="0.2">
      <c r="B1007" s="62">
        <v>41283</v>
      </c>
      <c r="C1007" s="72">
        <v>26.7</v>
      </c>
      <c r="D1007" s="71">
        <v>38375910</v>
      </c>
      <c r="E1007" s="66" t="s">
        <v>81</v>
      </c>
      <c r="F1007" s="16">
        <f t="shared" si="21"/>
        <v>6</v>
      </c>
      <c r="G1007" s="67" cm="1">
        <f t="array" ref="G1007">INDEX($B$5:$B$1012, F1007)</f>
        <v>42726</v>
      </c>
      <c r="H1007" s="69" cm="1">
        <f t="array" ref="H1007">INDEX($C$5:$C$1012, F1007)</f>
        <v>63.55</v>
      </c>
      <c r="I1007" s="70" cm="1">
        <f t="array" ref="I1007">INDEX($D$5:$D$1012, F1007)</f>
        <v>22175270</v>
      </c>
    </row>
    <row r="1008" spans="2:9" x14ac:dyDescent="0.2">
      <c r="B1008" s="62">
        <v>41282</v>
      </c>
      <c r="C1008" s="72">
        <v>26.55</v>
      </c>
      <c r="D1008" s="71">
        <v>44639720</v>
      </c>
      <c r="E1008" s="66" t="s">
        <v>81</v>
      </c>
      <c r="F1008" s="16">
        <f t="shared" si="21"/>
        <v>5</v>
      </c>
      <c r="G1008" s="67" cm="1">
        <f t="array" ref="G1008">INDEX($B$5:$B$1012, F1008)</f>
        <v>42727</v>
      </c>
      <c r="H1008" s="69" cm="1">
        <f t="array" ref="H1008">INDEX($C$5:$C$1012, F1008)</f>
        <v>63.24</v>
      </c>
      <c r="I1008" s="70" cm="1">
        <f t="array" ref="I1008">INDEX($D$5:$D$1012, F1008)</f>
        <v>12399540</v>
      </c>
    </row>
    <row r="1009" spans="1:21" x14ac:dyDescent="0.2">
      <c r="B1009" s="62">
        <v>41281</v>
      </c>
      <c r="C1009" s="72">
        <v>26.69</v>
      </c>
      <c r="D1009" s="71">
        <v>37088100</v>
      </c>
      <c r="E1009" s="66" t="s">
        <v>81</v>
      </c>
      <c r="F1009" s="16">
        <f t="shared" si="21"/>
        <v>4</v>
      </c>
      <c r="G1009" s="67" cm="1">
        <f t="array" ref="G1009">INDEX($B$5:$B$1012, F1009)</f>
        <v>42731</v>
      </c>
      <c r="H1009" s="69" cm="1">
        <f t="array" ref="H1009">INDEX($C$5:$C$1012, F1009)</f>
        <v>63.28</v>
      </c>
      <c r="I1009" s="70" cm="1">
        <f t="array" ref="I1009">INDEX($D$5:$D$1012, F1009)</f>
        <v>11743650</v>
      </c>
    </row>
    <row r="1010" spans="1:21" x14ac:dyDescent="0.2">
      <c r="B1010" s="62">
        <v>41278</v>
      </c>
      <c r="C1010" s="72">
        <v>26.74</v>
      </c>
      <c r="D1010" s="71">
        <v>52481010</v>
      </c>
      <c r="E1010" s="66" t="s">
        <v>81</v>
      </c>
      <c r="F1010" s="16">
        <f t="shared" si="21"/>
        <v>3</v>
      </c>
      <c r="G1010" s="67" cm="1">
        <f t="array" ref="G1010">INDEX($B$5:$B$1012, F1010)</f>
        <v>42732</v>
      </c>
      <c r="H1010" s="69" cm="1">
        <f t="array" ref="H1010">INDEX($C$5:$C$1012, F1010)</f>
        <v>62.99</v>
      </c>
      <c r="I1010" s="70" cm="1">
        <f t="array" ref="I1010">INDEX($D$5:$D$1012, F1010)</f>
        <v>14348340</v>
      </c>
    </row>
    <row r="1011" spans="1:21" x14ac:dyDescent="0.2">
      <c r="B1011" s="62">
        <v>41277</v>
      </c>
      <c r="C1011" s="72">
        <v>27.25</v>
      </c>
      <c r="D1011" s="71">
        <v>48292010</v>
      </c>
      <c r="E1011" s="66" t="s">
        <v>81</v>
      </c>
      <c r="F1011" s="16">
        <f t="shared" si="21"/>
        <v>2</v>
      </c>
      <c r="G1011" s="67" cm="1">
        <f t="array" ref="G1011">INDEX($B$5:$B$1012, F1011)</f>
        <v>42733</v>
      </c>
      <c r="H1011" s="69" cm="1">
        <f t="array" ref="H1011">INDEX($C$5:$C$1012, F1011)</f>
        <v>62.9</v>
      </c>
      <c r="I1011" s="70" cm="1">
        <f t="array" ref="I1011">INDEX($D$5:$D$1012, F1011)</f>
        <v>10248460</v>
      </c>
    </row>
    <row r="1012" spans="1:21" x14ac:dyDescent="0.2">
      <c r="B1012" s="62">
        <v>41276</v>
      </c>
      <c r="C1012" s="72">
        <v>27.62</v>
      </c>
      <c r="D1012" s="71">
        <v>52897110</v>
      </c>
      <c r="E1012" s="66" t="s">
        <v>81</v>
      </c>
      <c r="F1012" s="16">
        <f t="shared" si="21"/>
        <v>1</v>
      </c>
      <c r="G1012" s="67" cm="1">
        <f t="array" ref="G1012">INDEX($B$5:$B$1012, F1012)</f>
        <v>42734</v>
      </c>
      <c r="H1012" s="69" cm="1">
        <f t="array" ref="H1012">INDEX($C$5:$C$1012, F1012)</f>
        <v>62.14</v>
      </c>
      <c r="I1012" s="70" cm="1">
        <f t="array" ref="I1012">INDEX($D$5:$D$1012, F1012)</f>
        <v>25575720</v>
      </c>
    </row>
    <row r="1013" spans="1:21" x14ac:dyDescent="0.2">
      <c r="F1013" s="66"/>
      <c r="G1013" s="66"/>
      <c r="H1013" s="66"/>
      <c r="I1013" s="66"/>
    </row>
    <row r="1014" spans="1:21" x14ac:dyDescent="0.2">
      <c r="A1014" s="65"/>
      <c r="B1014" s="65"/>
      <c r="C1014" s="65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Introduction</vt:lpstr>
      <vt:lpstr>Part1</vt:lpstr>
      <vt:lpstr>2012</vt:lpstr>
      <vt:lpstr>2013</vt:lpstr>
      <vt:lpstr>2014</vt:lpstr>
      <vt:lpstr>2015</vt:lpstr>
      <vt:lpstr>2016</vt:lpstr>
      <vt:lpstr>Part2</vt:lpstr>
      <vt:lpstr>Currency_List</vt:lpstr>
      <vt:lpstr>LiveTable</vt:lpstr>
      <vt:lpstr>Month_List</vt:lpstr>
      <vt:lpstr>Rates_2012</vt:lpstr>
      <vt:lpstr>Rates_2013</vt:lpstr>
      <vt:lpstr>Rates_2014</vt:lpstr>
      <vt:lpstr>Rates_2015</vt:lpstr>
      <vt:lpstr>Rates_2016</vt:lpstr>
      <vt:lpstr>Year_List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Vivian Nguyen</cp:lastModifiedBy>
  <cp:lastPrinted>2017-11-05T04:32:04Z</cp:lastPrinted>
  <dcterms:created xsi:type="dcterms:W3CDTF">2017-08-25T02:34:34Z</dcterms:created>
  <dcterms:modified xsi:type="dcterms:W3CDTF">2025-07-21T13:34:10Z</dcterms:modified>
</cp:coreProperties>
</file>