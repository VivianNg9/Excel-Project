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advanced Excel Mq/"/>
    </mc:Choice>
  </mc:AlternateContent>
  <xr:revisionPtr revIDLastSave="0" documentId="13_ncr:1_{08304BCB-A324-9D47-8E7B-CA0B5285AAD0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Introduction" sheetId="2" r:id="rId1"/>
    <sheet name="Inputs" sheetId="1" r:id="rId2"/>
  </sheets>
  <externalReferences>
    <externalReference r:id="rId3"/>
  </externalReferences>
  <definedNames>
    <definedName name="Model_Start_Date">Inputs!$F$14</definedName>
    <definedName name="Raw">[1]Raw!$B$3:$F$54</definedName>
    <definedName name="Towns">[1]Distances!$B$4:$B$8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11" i="1"/>
  <c r="G12" i="1"/>
  <c r="G6" i="1"/>
  <c r="G5" i="1"/>
  <c r="F16" i="1" l="1"/>
  <c r="E26" i="1"/>
  <c r="E36" i="1" s="1"/>
  <c r="H7" i="1" l="1"/>
  <c r="H11" i="1" s="1"/>
  <c r="G8" i="1"/>
  <c r="G7" i="1"/>
  <c r="E27" i="1"/>
  <c r="G16" i="1" l="1"/>
  <c r="H16" i="1"/>
  <c r="H6" i="1"/>
  <c r="I5" i="1" s="1"/>
  <c r="H8" i="1"/>
  <c r="E28" i="1"/>
  <c r="E37" i="1"/>
  <c r="H12" i="1" l="1"/>
  <c r="H20" i="1" s="1"/>
  <c r="G20" i="1"/>
  <c r="H17" i="1"/>
  <c r="H18" i="1" s="1"/>
  <c r="H22" i="1" s="1"/>
  <c r="G17" i="1"/>
  <c r="G18" i="1" s="1"/>
  <c r="I6" i="1"/>
  <c r="J5" i="1" s="1"/>
  <c r="I8" i="1"/>
  <c r="I7" i="1"/>
  <c r="I11" i="1" s="1"/>
  <c r="E29" i="1"/>
  <c r="E38" i="1"/>
  <c r="G22" i="1" l="1"/>
  <c r="I12" i="1"/>
  <c r="I20" i="1" s="1"/>
  <c r="J6" i="1"/>
  <c r="K5" i="1" s="1"/>
  <c r="J8" i="1"/>
  <c r="J7" i="1"/>
  <c r="J11" i="1" s="1"/>
  <c r="E30" i="1"/>
  <c r="E39" i="1"/>
  <c r="J16" i="1" l="1"/>
  <c r="J17" i="1" s="1"/>
  <c r="J18" i="1" s="1"/>
  <c r="I16" i="1"/>
  <c r="J12" i="1"/>
  <c r="J20" i="1" s="1"/>
  <c r="K6" i="1"/>
  <c r="L5" i="1" s="1"/>
  <c r="K8" i="1"/>
  <c r="K7" i="1"/>
  <c r="K11" i="1" s="1"/>
  <c r="E40" i="1"/>
  <c r="I17" i="1" l="1"/>
  <c r="I18" i="1" s="1"/>
  <c r="I22" i="1" s="1"/>
  <c r="J22" i="1"/>
  <c r="K12" i="1"/>
  <c r="K20" i="1" s="1"/>
  <c r="L6" i="1"/>
  <c r="M5" i="1" s="1"/>
  <c r="L8" i="1"/>
  <c r="L7" i="1"/>
  <c r="L11" i="1" s="1"/>
  <c r="K16" i="1" l="1"/>
  <c r="K17" i="1" s="1"/>
  <c r="K18" i="1" s="1"/>
  <c r="K22" i="1" s="1"/>
  <c r="L12" i="1"/>
  <c r="L20" i="1" s="1"/>
  <c r="M6" i="1"/>
  <c r="N5" i="1" s="1"/>
  <c r="M8" i="1"/>
  <c r="M7" i="1"/>
  <c r="M11" i="1" s="1"/>
  <c r="L16" i="1" l="1"/>
  <c r="L17" i="1" s="1"/>
  <c r="L18" i="1" s="1"/>
  <c r="L22" i="1" s="1"/>
  <c r="M12" i="1"/>
  <c r="M20" i="1" s="1"/>
  <c r="N6" i="1"/>
  <c r="O5" i="1" s="1"/>
  <c r="N8" i="1"/>
  <c r="N7" i="1"/>
  <c r="N11" i="1" s="1"/>
  <c r="M16" i="1" l="1"/>
  <c r="M17" i="1" s="1"/>
  <c r="M18" i="1" s="1"/>
  <c r="M22" i="1" s="1"/>
  <c r="N12" i="1"/>
  <c r="N20" i="1" s="1"/>
  <c r="O6" i="1"/>
  <c r="P5" i="1" s="1"/>
  <c r="O8" i="1"/>
  <c r="O7" i="1"/>
  <c r="O11" i="1" s="1"/>
  <c r="O16" i="1" l="1"/>
  <c r="O17" i="1" s="1"/>
  <c r="O18" i="1" s="1"/>
  <c r="N16" i="1"/>
  <c r="N17" i="1" s="1"/>
  <c r="N18" i="1" s="1"/>
  <c r="N22" i="1" s="1"/>
  <c r="O12" i="1"/>
  <c r="O20" i="1" s="1"/>
  <c r="P6" i="1"/>
  <c r="Q5" i="1" s="1"/>
  <c r="P8" i="1"/>
  <c r="P7" i="1"/>
  <c r="P11" i="1" s="1"/>
  <c r="O22" i="1" l="1"/>
  <c r="P12" i="1"/>
  <c r="P20" i="1" s="1"/>
  <c r="Q6" i="1"/>
  <c r="R5" i="1" s="1"/>
  <c r="Q8" i="1"/>
  <c r="Q7" i="1"/>
  <c r="Q11" i="1" s="1"/>
  <c r="P16" i="1" l="1"/>
  <c r="P17" i="1" s="1"/>
  <c r="P18" i="1" s="1"/>
  <c r="P22" i="1" s="1"/>
  <c r="Q12" i="1"/>
  <c r="Q20" i="1" s="1"/>
  <c r="R6" i="1"/>
  <c r="S5" i="1" s="1"/>
  <c r="R8" i="1"/>
  <c r="R7" i="1"/>
  <c r="R11" i="1" s="1"/>
  <c r="Q16" i="1" l="1"/>
  <c r="Q17" i="1" s="1"/>
  <c r="Q18" i="1" s="1"/>
  <c r="Q22" i="1" s="1"/>
  <c r="R12" i="1"/>
  <c r="R20" i="1" s="1"/>
  <c r="S6" i="1"/>
  <c r="T5" i="1" s="1"/>
  <c r="S8" i="1"/>
  <c r="S7" i="1"/>
  <c r="S11" i="1" s="1"/>
  <c r="R16" i="1" l="1"/>
  <c r="S12" i="1"/>
  <c r="S20" i="1" s="1"/>
  <c r="T6" i="1"/>
  <c r="U5" i="1" s="1"/>
  <c r="T8" i="1"/>
  <c r="T7" i="1"/>
  <c r="T11" i="1" s="1"/>
  <c r="R17" i="1" l="1"/>
  <c r="R18" i="1" s="1"/>
  <c r="R22" i="1" s="1"/>
  <c r="S16" i="1"/>
  <c r="S17" i="1" s="1"/>
  <c r="S18" i="1" s="1"/>
  <c r="S22" i="1" s="1"/>
  <c r="T12" i="1"/>
  <c r="T20" i="1" s="1"/>
  <c r="U6" i="1"/>
  <c r="V5" i="1" s="1"/>
  <c r="U8" i="1"/>
  <c r="U7" i="1"/>
  <c r="U11" i="1" s="1"/>
  <c r="U16" i="1" l="1"/>
  <c r="U17" i="1" s="1"/>
  <c r="U18" i="1" s="1"/>
  <c r="T16" i="1"/>
  <c r="T17" i="1" s="1"/>
  <c r="T18" i="1" s="1"/>
  <c r="T22" i="1"/>
  <c r="U12" i="1"/>
  <c r="U20" i="1" s="1"/>
  <c r="V6" i="1"/>
  <c r="W5" i="1" s="1"/>
  <c r="V8" i="1"/>
  <c r="V7" i="1"/>
  <c r="V11" i="1" s="1"/>
  <c r="U22" i="1" l="1"/>
  <c r="V12" i="1"/>
  <c r="V20" i="1" s="1"/>
  <c r="W6" i="1"/>
  <c r="X5" i="1" s="1"/>
  <c r="W8" i="1"/>
  <c r="W7" i="1"/>
  <c r="W11" i="1" s="1"/>
  <c r="V16" i="1" l="1"/>
  <c r="V17" i="1" s="1"/>
  <c r="V18" i="1" s="1"/>
  <c r="V22" i="1" s="1"/>
  <c r="W12" i="1"/>
  <c r="W20" i="1" s="1"/>
  <c r="X6" i="1"/>
  <c r="Y5" i="1" s="1"/>
  <c r="X8" i="1"/>
  <c r="X7" i="1"/>
  <c r="X11" i="1" s="1"/>
  <c r="W16" i="1" l="1"/>
  <c r="X12" i="1"/>
  <c r="X20" i="1" s="1"/>
  <c r="Y6" i="1"/>
  <c r="Z5" i="1" s="1"/>
  <c r="Y8" i="1"/>
  <c r="Y7" i="1"/>
  <c r="Y11" i="1" s="1"/>
  <c r="W17" i="1" l="1"/>
  <c r="W18" i="1"/>
  <c r="W22" i="1" s="1"/>
  <c r="X16" i="1"/>
  <c r="X17" i="1" s="1"/>
  <c r="X18" i="1" s="1"/>
  <c r="X22" i="1" s="1"/>
  <c r="Y12" i="1"/>
  <c r="Y20" i="1" s="1"/>
  <c r="Z6" i="1"/>
  <c r="AA5" i="1" s="1"/>
  <c r="Z8" i="1"/>
  <c r="Z7" i="1"/>
  <c r="Z11" i="1" s="1"/>
  <c r="Z16" i="1" l="1"/>
  <c r="Z17" i="1" s="1"/>
  <c r="Z18" i="1" s="1"/>
  <c r="Y16" i="1"/>
  <c r="Y17" i="1" s="1"/>
  <c r="Y18" i="1" s="1"/>
  <c r="Y22" i="1" s="1"/>
  <c r="Z12" i="1"/>
  <c r="Z20" i="1" s="1"/>
  <c r="AA8" i="1"/>
  <c r="AA7" i="1"/>
  <c r="AA11" i="1" s="1"/>
  <c r="AA6" i="1"/>
  <c r="AB5" i="1" s="1"/>
  <c r="Z22" i="1" l="1"/>
  <c r="AA12" i="1"/>
  <c r="AA20" i="1" s="1"/>
  <c r="AB6" i="1"/>
  <c r="AC5" i="1" s="1"/>
  <c r="AB8" i="1"/>
  <c r="AB7" i="1"/>
  <c r="AB11" i="1" s="1"/>
  <c r="AA16" i="1" l="1"/>
  <c r="AA17" i="1" s="1"/>
  <c r="AA18" i="1" s="1"/>
  <c r="AA22" i="1" s="1"/>
  <c r="AB12" i="1"/>
  <c r="AB20" i="1" s="1"/>
  <c r="AC6" i="1"/>
  <c r="AD5" i="1" s="1"/>
  <c r="AC8" i="1"/>
  <c r="AC7" i="1"/>
  <c r="AC11" i="1" s="1"/>
  <c r="AB16" i="1" l="1"/>
  <c r="AC12" i="1"/>
  <c r="AC20" i="1" s="1"/>
  <c r="AD6" i="1"/>
  <c r="AE5" i="1" s="1"/>
  <c r="AD8" i="1"/>
  <c r="AD7" i="1"/>
  <c r="AD11" i="1" s="1"/>
  <c r="AB17" i="1" l="1"/>
  <c r="AB18" i="1"/>
  <c r="AB22" i="1" s="1"/>
  <c r="AC16" i="1"/>
  <c r="AC17" i="1" s="1"/>
  <c r="AC18" i="1" s="1"/>
  <c r="AC22" i="1" s="1"/>
  <c r="AD12" i="1"/>
  <c r="AD20" i="1" s="1"/>
  <c r="AE6" i="1"/>
  <c r="AF5" i="1" s="1"/>
  <c r="AE8" i="1"/>
  <c r="AE7" i="1"/>
  <c r="AE11" i="1" s="1"/>
  <c r="AE16" i="1" l="1"/>
  <c r="AD16" i="1"/>
  <c r="AD17" i="1" s="1"/>
  <c r="AD18" i="1" s="1"/>
  <c r="AD22" i="1" s="1"/>
  <c r="AE12" i="1"/>
  <c r="AE20" i="1" s="1"/>
  <c r="AF6" i="1"/>
  <c r="AG5" i="1" s="1"/>
  <c r="AF8" i="1"/>
  <c r="AF7" i="1"/>
  <c r="AF11" i="1" s="1"/>
  <c r="AE17" i="1" l="1"/>
  <c r="AE18" i="1" s="1"/>
  <c r="AE22" i="1" s="1"/>
  <c r="AF12" i="1"/>
  <c r="AF20" i="1" s="1"/>
  <c r="AG6" i="1"/>
  <c r="AH5" i="1" s="1"/>
  <c r="AG8" i="1"/>
  <c r="AG7" i="1"/>
  <c r="AG11" i="1" s="1"/>
  <c r="AF16" i="1" l="1"/>
  <c r="AF17" i="1" s="1"/>
  <c r="AF18" i="1" s="1"/>
  <c r="AF22" i="1" s="1"/>
  <c r="AG12" i="1"/>
  <c r="AG20" i="1" s="1"/>
  <c r="AH6" i="1"/>
  <c r="AI5" i="1" s="1"/>
  <c r="AH8" i="1"/>
  <c r="AH7" i="1"/>
  <c r="AH11" i="1" s="1"/>
  <c r="AG16" i="1" l="1"/>
  <c r="AH12" i="1"/>
  <c r="AH20" i="1" s="1"/>
  <c r="AI6" i="1"/>
  <c r="AJ5" i="1" s="1"/>
  <c r="AI8" i="1"/>
  <c r="AI7" i="1"/>
  <c r="AI11" i="1" s="1"/>
  <c r="AG17" i="1" l="1"/>
  <c r="AG18" i="1"/>
  <c r="AG22" i="1" s="1"/>
  <c r="AH16" i="1"/>
  <c r="AH17" i="1" s="1"/>
  <c r="AH18" i="1" s="1"/>
  <c r="AH22" i="1" s="1"/>
  <c r="AI12" i="1"/>
  <c r="AI20" i="1" s="1"/>
  <c r="AJ6" i="1"/>
  <c r="AK5" i="1" s="1"/>
  <c r="AJ8" i="1"/>
  <c r="AJ7" i="1"/>
  <c r="AJ11" i="1" s="1"/>
  <c r="AJ16" i="1" l="1"/>
  <c r="AJ17" i="1" s="1"/>
  <c r="AJ18" i="1" s="1"/>
  <c r="AI16" i="1"/>
  <c r="AI17" i="1" s="1"/>
  <c r="AI18" i="1" s="1"/>
  <c r="AJ12" i="1"/>
  <c r="AJ20" i="1" s="1"/>
  <c r="AK6" i="1"/>
  <c r="AL5" i="1" s="1"/>
  <c r="AK8" i="1"/>
  <c r="AK7" i="1"/>
  <c r="AK11" i="1" s="1"/>
  <c r="AK12" i="1" l="1"/>
  <c r="AK20" i="1" s="1"/>
  <c r="AL6" i="1"/>
  <c r="AM5" i="1" s="1"/>
  <c r="AL8" i="1"/>
  <c r="AL7" i="1"/>
  <c r="AL11" i="1" s="1"/>
  <c r="AK16" i="1" l="1"/>
  <c r="AK17" i="1" s="1"/>
  <c r="AK18" i="1" s="1"/>
  <c r="AL12" i="1"/>
  <c r="AL20" i="1" s="1"/>
  <c r="AM6" i="1"/>
  <c r="AN5" i="1" s="1"/>
  <c r="AM8" i="1"/>
  <c r="AM7" i="1"/>
  <c r="AM11" i="1" s="1"/>
  <c r="AL16" i="1" l="1"/>
  <c r="AM12" i="1"/>
  <c r="AM20" i="1" s="1"/>
  <c r="AN6" i="1"/>
  <c r="AO5" i="1" s="1"/>
  <c r="AN8" i="1"/>
  <c r="AN7" i="1"/>
  <c r="AN11" i="1" s="1"/>
  <c r="AL17" i="1" l="1"/>
  <c r="AL18" i="1"/>
  <c r="AM16" i="1"/>
  <c r="AN12" i="1"/>
  <c r="AN20" i="1" s="1"/>
  <c r="AO6" i="1"/>
  <c r="AP5" i="1" s="1"/>
  <c r="AO8" i="1"/>
  <c r="AO7" i="1"/>
  <c r="AO11" i="1" s="1"/>
  <c r="AM17" i="1" l="1"/>
  <c r="AM18" i="1"/>
  <c r="AN16" i="1"/>
  <c r="AN17" i="1" s="1"/>
  <c r="AN18" i="1" s="1"/>
  <c r="AO12" i="1"/>
  <c r="AO20" i="1" s="1"/>
  <c r="AP6" i="1"/>
  <c r="AQ5" i="1" s="1"/>
  <c r="AP8" i="1"/>
  <c r="AP7" i="1"/>
  <c r="AP11" i="1" s="1"/>
  <c r="AO16" i="1" l="1"/>
  <c r="AO17" i="1" s="1"/>
  <c r="AO18" i="1" s="1"/>
  <c r="AP12" i="1"/>
  <c r="AP20" i="1" s="1"/>
  <c r="AQ6" i="1"/>
  <c r="AR5" i="1" s="1"/>
  <c r="AQ8" i="1"/>
  <c r="AQ7" i="1"/>
  <c r="AQ11" i="1" s="1"/>
  <c r="AP16" i="1" l="1"/>
  <c r="AP17" i="1" s="1"/>
  <c r="AP18" i="1" s="1"/>
  <c r="AQ12" i="1"/>
  <c r="AQ20" i="1" s="1"/>
  <c r="AR6" i="1"/>
  <c r="AS5" i="1" s="1"/>
  <c r="AR8" i="1"/>
  <c r="AR7" i="1"/>
  <c r="AR11" i="1" s="1"/>
  <c r="AQ16" i="1" l="1"/>
  <c r="AQ17" i="1" s="1"/>
  <c r="AQ18" i="1" s="1"/>
  <c r="AR12" i="1"/>
  <c r="AR20" i="1" s="1"/>
  <c r="AS6" i="1"/>
  <c r="AT5" i="1" s="1"/>
  <c r="AS8" i="1"/>
  <c r="AS7" i="1"/>
  <c r="AS11" i="1" s="1"/>
  <c r="AR16" i="1" l="1"/>
  <c r="AR17" i="1" s="1"/>
  <c r="AR18" i="1" s="1"/>
  <c r="AS12" i="1"/>
  <c r="AS20" i="1" s="1"/>
  <c r="AT6" i="1"/>
  <c r="AU5" i="1" s="1"/>
  <c r="AT8" i="1"/>
  <c r="AT7" i="1"/>
  <c r="AT11" i="1" s="1"/>
  <c r="AS16" i="1" l="1"/>
  <c r="AS17" i="1" s="1"/>
  <c r="AS18" i="1" s="1"/>
  <c r="AT12" i="1"/>
  <c r="AT20" i="1" s="1"/>
  <c r="AU7" i="1"/>
  <c r="AU11" i="1" s="1"/>
  <c r="AU8" i="1"/>
  <c r="AU6" i="1"/>
  <c r="AV5" i="1" s="1"/>
  <c r="AT16" i="1" l="1"/>
  <c r="AU12" i="1"/>
  <c r="AU20" i="1" s="1"/>
  <c r="AV6" i="1"/>
  <c r="AW5" i="1" s="1"/>
  <c r="AV8" i="1"/>
  <c r="AV7" i="1"/>
  <c r="AV11" i="1" s="1"/>
  <c r="AT17" i="1" l="1"/>
  <c r="AT18" i="1"/>
  <c r="AU16" i="1"/>
  <c r="AU17" i="1" s="1"/>
  <c r="AU18" i="1" s="1"/>
  <c r="AV12" i="1"/>
  <c r="AV20" i="1" s="1"/>
  <c r="AW6" i="1"/>
  <c r="AX5" i="1" s="1"/>
  <c r="AW8" i="1"/>
  <c r="AW7" i="1"/>
  <c r="AW11" i="1" s="1"/>
  <c r="AV16" i="1" l="1"/>
  <c r="AV17" i="1" s="1"/>
  <c r="AV18" i="1" s="1"/>
  <c r="AW12" i="1"/>
  <c r="AW20" i="1" s="1"/>
  <c r="AX6" i="1"/>
  <c r="AY5" i="1" s="1"/>
  <c r="AX8" i="1"/>
  <c r="AX7" i="1"/>
  <c r="AX11" i="1" s="1"/>
  <c r="AW16" i="1" l="1"/>
  <c r="AW17" i="1" s="1"/>
  <c r="AW18" i="1" s="1"/>
  <c r="AX12" i="1"/>
  <c r="AX20" i="1" s="1"/>
  <c r="AY6" i="1"/>
  <c r="AZ5" i="1" s="1"/>
  <c r="AY8" i="1"/>
  <c r="AY7" i="1"/>
  <c r="AY11" i="1" s="1"/>
  <c r="AX16" i="1" l="1"/>
  <c r="AX17" i="1" s="1"/>
  <c r="AX18" i="1" s="1"/>
  <c r="AY12" i="1"/>
  <c r="AY20" i="1" s="1"/>
  <c r="AZ6" i="1"/>
  <c r="BA5" i="1" s="1"/>
  <c r="AZ8" i="1"/>
  <c r="AZ7" i="1"/>
  <c r="AZ11" i="1" s="1"/>
  <c r="AZ16" i="1" l="1"/>
  <c r="AY16" i="1"/>
  <c r="AY17" i="1" s="1"/>
  <c r="AY18" i="1" s="1"/>
  <c r="AZ17" i="1"/>
  <c r="AZ18" i="1" s="1"/>
  <c r="AZ12" i="1"/>
  <c r="AZ20" i="1" s="1"/>
  <c r="BA6" i="1"/>
  <c r="BB5" i="1" s="1"/>
  <c r="BA8" i="1"/>
  <c r="BA7" i="1"/>
  <c r="BA11" i="1" s="1"/>
  <c r="BA12" i="1" l="1"/>
  <c r="BA20" i="1" s="1"/>
  <c r="BB6" i="1"/>
  <c r="BC5" i="1" s="1"/>
  <c r="BB8" i="1"/>
  <c r="BB7" i="1"/>
  <c r="BB11" i="1" s="1"/>
  <c r="BA16" i="1" l="1"/>
  <c r="BA17" i="1" s="1"/>
  <c r="BA18" i="1" s="1"/>
  <c r="BB12" i="1"/>
  <c r="BB20" i="1" s="1"/>
  <c r="BC6" i="1"/>
  <c r="BD5" i="1" s="1"/>
  <c r="BC8" i="1"/>
  <c r="BC7" i="1"/>
  <c r="BC11" i="1" s="1"/>
  <c r="BB16" i="1" l="1"/>
  <c r="BB17" i="1" s="1"/>
  <c r="BB18" i="1" s="1"/>
  <c r="BC12" i="1"/>
  <c r="BC20" i="1" s="1"/>
  <c r="BD6" i="1"/>
  <c r="BE5" i="1" s="1"/>
  <c r="BD8" i="1"/>
  <c r="BD7" i="1"/>
  <c r="BD11" i="1" s="1"/>
  <c r="BC16" i="1" l="1"/>
  <c r="BC17" i="1" s="1"/>
  <c r="BC18" i="1" s="1"/>
  <c r="BD12" i="1"/>
  <c r="BD20" i="1" s="1"/>
  <c r="BE6" i="1"/>
  <c r="BF5" i="1" s="1"/>
  <c r="BE8" i="1"/>
  <c r="BE7" i="1"/>
  <c r="BE11" i="1" s="1"/>
  <c r="BD16" i="1" l="1"/>
  <c r="BD17" i="1" s="1"/>
  <c r="BD18" i="1" s="1"/>
  <c r="BE12" i="1"/>
  <c r="BE20" i="1" s="1"/>
  <c r="BF6" i="1"/>
  <c r="BG5" i="1" s="1"/>
  <c r="BF8" i="1"/>
  <c r="BF7" i="1"/>
  <c r="BF11" i="1" s="1"/>
  <c r="BE16" i="1" l="1"/>
  <c r="BE17" i="1" s="1"/>
  <c r="BE18" i="1" s="1"/>
  <c r="BF12" i="1"/>
  <c r="BF20" i="1" s="1"/>
  <c r="BG6" i="1"/>
  <c r="BH5" i="1" s="1"/>
  <c r="BG8" i="1"/>
  <c r="BG7" i="1"/>
  <c r="BG11" i="1" s="1"/>
  <c r="BF16" i="1" l="1"/>
  <c r="BF17" i="1" s="1"/>
  <c r="BF18" i="1" s="1"/>
  <c r="BG12" i="1"/>
  <c r="BG20" i="1" s="1"/>
  <c r="BH6" i="1"/>
  <c r="BI5" i="1" s="1"/>
  <c r="BH8" i="1"/>
  <c r="BH7" i="1"/>
  <c r="BH11" i="1" s="1"/>
  <c r="BG16" i="1" l="1"/>
  <c r="BG17" i="1" s="1"/>
  <c r="BG18" i="1" s="1"/>
  <c r="BH16" i="1"/>
  <c r="BH12" i="1"/>
  <c r="BH20" i="1" s="1"/>
  <c r="BI6" i="1"/>
  <c r="BJ5" i="1" s="1"/>
  <c r="BI8" i="1"/>
  <c r="BI7" i="1"/>
  <c r="BI11" i="1" s="1"/>
  <c r="BH17" i="1" l="1"/>
  <c r="BH18" i="1" s="1"/>
  <c r="BI16" i="1"/>
  <c r="BI12" i="1"/>
  <c r="BI20" i="1" s="1"/>
  <c r="BJ6" i="1"/>
  <c r="BK5" i="1" s="1"/>
  <c r="BJ8" i="1"/>
  <c r="BJ7" i="1"/>
  <c r="BJ11" i="1" s="1"/>
  <c r="BI17" i="1" l="1"/>
  <c r="BI18" i="1" s="1"/>
  <c r="BJ16" i="1"/>
  <c r="BJ12" i="1"/>
  <c r="BJ20" i="1" s="1"/>
  <c r="BK6" i="1"/>
  <c r="BL5" i="1" s="1"/>
  <c r="BK8" i="1"/>
  <c r="BK7" i="1"/>
  <c r="BK11" i="1" s="1"/>
  <c r="BJ17" i="1" l="1"/>
  <c r="BJ18" i="1" s="1"/>
  <c r="BK16" i="1"/>
  <c r="BK12" i="1"/>
  <c r="BK20" i="1" s="1"/>
  <c r="BL6" i="1"/>
  <c r="BM5" i="1" s="1"/>
  <c r="BL8" i="1"/>
  <c r="BL7" i="1"/>
  <c r="BL11" i="1" s="1"/>
  <c r="BK17" i="1" l="1"/>
  <c r="BK18" i="1" s="1"/>
  <c r="BL16" i="1"/>
  <c r="BL12" i="1"/>
  <c r="BL20" i="1" s="1"/>
  <c r="BM6" i="1"/>
  <c r="BN5" i="1" s="1"/>
  <c r="BM8" i="1"/>
  <c r="BM7" i="1"/>
  <c r="BM11" i="1" s="1"/>
  <c r="BL17" i="1" l="1"/>
  <c r="BL18" i="1"/>
  <c r="BM16" i="1"/>
  <c r="BM12" i="1"/>
  <c r="BM20" i="1" s="1"/>
  <c r="BN6" i="1"/>
  <c r="BN8" i="1"/>
  <c r="BN7" i="1"/>
  <c r="BN11" i="1" s="1"/>
  <c r="BN16" i="1" l="1"/>
  <c r="BM17" i="1"/>
  <c r="BM18" i="1"/>
  <c r="BN12" i="1"/>
  <c r="BN20" i="1" s="1"/>
  <c r="E20" i="1" s="1"/>
  <c r="E16" i="1" l="1"/>
  <c r="BN17" i="1"/>
  <c r="BN18" i="1"/>
</calcChain>
</file>

<file path=xl/sharedStrings.xml><?xml version="1.0" encoding="utf-8"?>
<sst xmlns="http://schemas.openxmlformats.org/spreadsheetml/2006/main" count="38" uniqueCount="31">
  <si>
    <t>Formatting Legend</t>
  </si>
  <si>
    <t>User-variable assumption</t>
  </si>
  <si>
    <t>Fixed assumption</t>
  </si>
  <si>
    <t>Calculation</t>
  </si>
  <si>
    <t>Unique Calculation</t>
  </si>
  <si>
    <t>Assumptions</t>
  </si>
  <si>
    <t>General</t>
  </si>
  <si>
    <t>Model Start Date</t>
  </si>
  <si>
    <t>Monthly periods modelled</t>
  </si>
  <si>
    <t>Growth Rates</t>
  </si>
  <si>
    <t>Revenues</t>
  </si>
  <si>
    <t>Year</t>
  </si>
  <si>
    <t>% Growth</t>
  </si>
  <si>
    <t>Growth occurs on first day of which month number:</t>
  </si>
  <si>
    <t>(1 = January, 12 = December etc)</t>
  </si>
  <si>
    <t>Expenses</t>
  </si>
  <si>
    <t>Initial values</t>
  </si>
  <si>
    <t>Cost of Goods Sold</t>
  </si>
  <si>
    <t>End Date of Model</t>
  </si>
  <si>
    <t>End of Sheet</t>
  </si>
  <si>
    <t>[$ / month]</t>
  </si>
  <si>
    <t>[% of Revenue]</t>
  </si>
  <si>
    <t>Units label</t>
  </si>
  <si>
    <t>[$]</t>
  </si>
  <si>
    <t>Excel Skills for Business: Advanced</t>
  </si>
  <si>
    <t>Final Assessment</t>
  </si>
  <si>
    <t>Week 1: Learning Objectives</t>
  </si>
  <si>
    <t>Week 1: Spreadsheet Design and Documentation</t>
  </si>
  <si>
    <t>Use the following functionalities in Excel for Spreadsheet Design and Documentation:
Design flexible and auditable spreadsheets
Build robust and transparent calculations
Create self-documenting spreadsheets
Use formatting to enhance functionality</t>
  </si>
  <si>
    <t>Gross Margin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</si>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</sst>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72" formatCode="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6"/>
      <color rgb="FF0F1114"/>
      <name val="Unset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3" fontId="5" fillId="3" borderId="1" xfId="0" applyNumberFormat="1" applyFont="1" applyFill="1" applyBorder="1"/>
    <xf numFmtId="3" fontId="5" fillId="0" borderId="1" xfId="0" applyNumberFormat="1" applyFont="1" applyBorder="1"/>
    <xf numFmtId="3" fontId="0" fillId="0" borderId="0" xfId="0" applyNumberFormat="1"/>
    <xf numFmtId="3" fontId="3" fillId="0" borderId="0" xfId="0" applyNumberFormat="1" applyFont="1"/>
    <xf numFmtId="0" fontId="4" fillId="0" borderId="0" xfId="0" applyFont="1"/>
    <xf numFmtId="15" fontId="5" fillId="0" borderId="1" xfId="0" applyNumberFormat="1" applyFont="1" applyBorder="1"/>
    <xf numFmtId="0" fontId="3" fillId="0" borderId="0" xfId="0" applyFont="1"/>
    <xf numFmtId="10" fontId="5" fillId="3" borderId="1" xfId="1" applyNumberFormat="1" applyFont="1" applyFill="1" applyBorder="1"/>
    <xf numFmtId="0" fontId="6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0" xfId="0" applyFont="1"/>
    <xf numFmtId="3" fontId="5" fillId="0" borderId="0" xfId="0" applyNumberFormat="1" applyFont="1"/>
    <xf numFmtId="0" fontId="0" fillId="4" borderId="0" xfId="0" applyFill="1" applyAlignment="1">
      <alignment horizontal="left" indent="3"/>
    </xf>
    <xf numFmtId="0" fontId="0" fillId="4" borderId="0" xfId="0" applyFill="1"/>
    <xf numFmtId="0" fontId="0" fillId="4" borderId="2" xfId="0" applyFill="1" applyBorder="1"/>
    <xf numFmtId="0" fontId="10" fillId="4" borderId="0" xfId="0" applyFont="1" applyFill="1" applyAlignment="1">
      <alignment horizontal="left" indent="3"/>
    </xf>
    <xf numFmtId="0" fontId="10" fillId="4" borderId="0" xfId="0" applyFont="1" applyFill="1"/>
    <xf numFmtId="0" fontId="11" fillId="4" borderId="6" xfId="0" applyFont="1" applyFill="1" applyBorder="1" applyAlignment="1">
      <alignment horizontal="left" indent="3"/>
    </xf>
    <xf numFmtId="0" fontId="11" fillId="4" borderId="6" xfId="0" applyFont="1" applyFill="1" applyBorder="1"/>
    <xf numFmtId="0" fontId="0" fillId="4" borderId="0" xfId="0" applyFill="1" applyAlignment="1">
      <alignment vertical="top" wrapText="1"/>
    </xf>
    <xf numFmtId="0" fontId="12" fillId="4" borderId="0" xfId="0" applyFont="1" applyFill="1"/>
    <xf numFmtId="0" fontId="7" fillId="4" borderId="2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64" fontId="0" fillId="5" borderId="0" xfId="0" applyNumberFormat="1" applyFill="1"/>
    <xf numFmtId="0" fontId="13" fillId="0" borderId="0" xfId="0" applyFont="1"/>
    <xf numFmtId="172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2" fontId="2" fillId="2" borderId="0" xfId="0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DBD41899-E552-4179-8A4E-10CB4E9BC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q20084022/Google%20Drive/Excel%20MOOC/004%20Course%204%20-%20Advanced/02%20Week%202/06%20Assessment/C4%20W2%20Final%20Assess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able_Data"/>
      <sheetName val="Raw_Data"/>
      <sheetName val="Raw"/>
      <sheetName val="Distances"/>
    </sheetNames>
    <sheetDataSet>
      <sheetData sheetId="0"/>
      <sheetData sheetId="1"/>
      <sheetData sheetId="2"/>
      <sheetData sheetId="3">
        <row r="3">
          <cell r="B3" t="str">
            <v>Location</v>
          </cell>
          <cell r="C3" t="str">
            <v>High_F</v>
          </cell>
          <cell r="D3" t="str">
            <v>Low_F</v>
          </cell>
          <cell r="E3" t="str">
            <v>High_C</v>
          </cell>
          <cell r="F3" t="str">
            <v>Low_C</v>
          </cell>
        </row>
        <row r="4">
          <cell r="B4" t="str">
            <v>San Antonio, Texas</v>
          </cell>
          <cell r="C4">
            <v>80</v>
          </cell>
          <cell r="D4">
            <v>59</v>
          </cell>
          <cell r="E4">
            <v>27</v>
          </cell>
          <cell r="F4">
            <v>15</v>
          </cell>
        </row>
        <row r="5">
          <cell r="B5" t="str">
            <v>Virginia Beach, Virginia</v>
          </cell>
          <cell r="C5">
            <v>68</v>
          </cell>
          <cell r="D5">
            <v>52</v>
          </cell>
          <cell r="E5">
            <v>20</v>
          </cell>
          <cell r="F5">
            <v>11</v>
          </cell>
        </row>
        <row r="6">
          <cell r="B6" t="str">
            <v>Portland, Oregon</v>
          </cell>
          <cell r="C6">
            <v>63</v>
          </cell>
          <cell r="D6">
            <v>45</v>
          </cell>
          <cell r="E6">
            <v>17</v>
          </cell>
          <cell r="F6">
            <v>7</v>
          </cell>
        </row>
        <row r="7">
          <cell r="B7" t="str">
            <v>Boston, Massachusetts</v>
          </cell>
          <cell r="C7">
            <v>59</v>
          </cell>
          <cell r="D7">
            <v>44</v>
          </cell>
          <cell r="E7">
            <v>15</v>
          </cell>
          <cell r="F7">
            <v>7</v>
          </cell>
        </row>
        <row r="8">
          <cell r="B8" t="str">
            <v>New Orleans, Louisiana</v>
          </cell>
          <cell r="C8">
            <v>78</v>
          </cell>
          <cell r="D8">
            <v>61</v>
          </cell>
          <cell r="E8">
            <v>26</v>
          </cell>
          <cell r="F8">
            <v>16</v>
          </cell>
        </row>
        <row r="9">
          <cell r="B9" t="str">
            <v>Atlanta, Georgia</v>
          </cell>
          <cell r="C9">
            <v>72</v>
          </cell>
          <cell r="D9">
            <v>53</v>
          </cell>
          <cell r="E9">
            <v>22</v>
          </cell>
          <cell r="F9">
            <v>12</v>
          </cell>
        </row>
        <row r="10">
          <cell r="B10" t="str">
            <v>Austin, Texas</v>
          </cell>
          <cell r="C10">
            <v>80</v>
          </cell>
          <cell r="D10">
            <v>59</v>
          </cell>
          <cell r="E10">
            <v>27</v>
          </cell>
          <cell r="F10">
            <v>15</v>
          </cell>
        </row>
        <row r="11">
          <cell r="B11" t="str">
            <v>Denver, Colorado</v>
          </cell>
          <cell r="C11">
            <v>64</v>
          </cell>
          <cell r="D11">
            <v>36</v>
          </cell>
          <cell r="E11">
            <v>18</v>
          </cell>
          <cell r="F11">
            <v>2</v>
          </cell>
        </row>
        <row r="12">
          <cell r="B12" t="str">
            <v>Phoenix, Arizona</v>
          </cell>
          <cell r="C12">
            <v>87</v>
          </cell>
          <cell r="D12">
            <v>63</v>
          </cell>
          <cell r="E12">
            <v>31</v>
          </cell>
          <cell r="F12">
            <v>17</v>
          </cell>
        </row>
        <row r="13">
          <cell r="B13" t="str">
            <v>Minneapolis, Minnesota</v>
          </cell>
          <cell r="C13">
            <v>55</v>
          </cell>
          <cell r="D13">
            <v>37</v>
          </cell>
          <cell r="E13">
            <v>13</v>
          </cell>
          <cell r="F13">
            <v>3</v>
          </cell>
        </row>
        <row r="14">
          <cell r="B14" t="str">
            <v>San Francisco, California</v>
          </cell>
          <cell r="C14">
            <v>64</v>
          </cell>
          <cell r="D14">
            <v>51</v>
          </cell>
          <cell r="E14">
            <v>18</v>
          </cell>
          <cell r="F14">
            <v>10</v>
          </cell>
        </row>
        <row r="15">
          <cell r="B15" t="str">
            <v>New York, New York</v>
          </cell>
          <cell r="C15">
            <v>62</v>
          </cell>
          <cell r="D15">
            <v>48</v>
          </cell>
          <cell r="E15">
            <v>17</v>
          </cell>
          <cell r="F15">
            <v>9</v>
          </cell>
        </row>
        <row r="16">
          <cell r="B16" t="str">
            <v>Buffalo, New York</v>
          </cell>
          <cell r="C16">
            <v>56</v>
          </cell>
          <cell r="D16">
            <v>40</v>
          </cell>
          <cell r="E16">
            <v>14</v>
          </cell>
          <cell r="F16">
            <v>5</v>
          </cell>
        </row>
        <row r="17">
          <cell r="B17" t="str">
            <v>Tampa, Florida</v>
          </cell>
          <cell r="C17">
            <v>82</v>
          </cell>
          <cell r="D17">
            <v>65</v>
          </cell>
          <cell r="E17">
            <v>28</v>
          </cell>
          <cell r="F17">
            <v>18</v>
          </cell>
        </row>
        <row r="18">
          <cell r="B18" t="str">
            <v>Cleveland, Ohio</v>
          </cell>
          <cell r="C18">
            <v>60</v>
          </cell>
          <cell r="D18">
            <v>43</v>
          </cell>
          <cell r="E18">
            <v>15</v>
          </cell>
          <cell r="F18">
            <v>6</v>
          </cell>
        </row>
        <row r="19">
          <cell r="B19" t="str">
            <v>Dallas, Texas</v>
          </cell>
          <cell r="C19">
            <v>77</v>
          </cell>
          <cell r="D19">
            <v>57</v>
          </cell>
          <cell r="E19">
            <v>25</v>
          </cell>
          <cell r="F19">
            <v>14</v>
          </cell>
        </row>
        <row r="20">
          <cell r="B20" t="str">
            <v>Birmingham, Alabama</v>
          </cell>
          <cell r="C20">
            <v>74</v>
          </cell>
          <cell r="D20">
            <v>53</v>
          </cell>
          <cell r="E20">
            <v>23</v>
          </cell>
          <cell r="F20">
            <v>12</v>
          </cell>
        </row>
        <row r="21">
          <cell r="B21" t="str">
            <v>Indianapolis, Indiana</v>
          </cell>
          <cell r="C21">
            <v>63</v>
          </cell>
          <cell r="D21">
            <v>44</v>
          </cell>
          <cell r="E21">
            <v>17</v>
          </cell>
          <cell r="F21">
            <v>7</v>
          </cell>
        </row>
        <row r="22">
          <cell r="B22" t="str">
            <v>Miami, Florida</v>
          </cell>
          <cell r="C22">
            <v>84</v>
          </cell>
          <cell r="D22">
            <v>70</v>
          </cell>
          <cell r="E22">
            <v>29</v>
          </cell>
          <cell r="F22">
            <v>21</v>
          </cell>
        </row>
        <row r="23">
          <cell r="B23" t="str">
            <v>Houston, Texas</v>
          </cell>
          <cell r="C23">
            <v>80</v>
          </cell>
          <cell r="D23">
            <v>60</v>
          </cell>
          <cell r="E23">
            <v>27</v>
          </cell>
          <cell r="F23">
            <v>16</v>
          </cell>
        </row>
        <row r="24">
          <cell r="B24" t="str">
            <v>San Jose, California</v>
          </cell>
          <cell r="C24">
            <v>71</v>
          </cell>
          <cell r="D24">
            <v>50</v>
          </cell>
          <cell r="E24">
            <v>22</v>
          </cell>
          <cell r="F24">
            <v>10</v>
          </cell>
        </row>
        <row r="25">
          <cell r="B25" t="str">
            <v>Pittsburgh, Pennsylvania</v>
          </cell>
          <cell r="C25">
            <v>61</v>
          </cell>
          <cell r="D25">
            <v>42</v>
          </cell>
          <cell r="E25">
            <v>16</v>
          </cell>
          <cell r="F25">
            <v>6</v>
          </cell>
        </row>
        <row r="26">
          <cell r="B26" t="str">
            <v>Kansas City, Missouri</v>
          </cell>
          <cell r="C26">
            <v>66</v>
          </cell>
          <cell r="D26">
            <v>48</v>
          </cell>
          <cell r="E26">
            <v>19</v>
          </cell>
          <cell r="F26">
            <v>9</v>
          </cell>
        </row>
        <row r="27">
          <cell r="B27" t="str">
            <v>St. Louis, Missouri</v>
          </cell>
          <cell r="C27">
            <v>66</v>
          </cell>
          <cell r="D27">
            <v>48</v>
          </cell>
          <cell r="E27">
            <v>19</v>
          </cell>
          <cell r="F27">
            <v>9</v>
          </cell>
        </row>
        <row r="28">
          <cell r="B28" t="str">
            <v>Sacramento, California</v>
          </cell>
          <cell r="C28">
            <v>74</v>
          </cell>
          <cell r="D28">
            <v>48</v>
          </cell>
          <cell r="E28">
            <v>23</v>
          </cell>
          <cell r="F28">
            <v>9</v>
          </cell>
        </row>
        <row r="29">
          <cell r="B29" t="str">
            <v>Providence, Rhode Island</v>
          </cell>
          <cell r="C29">
            <v>61</v>
          </cell>
          <cell r="D29">
            <v>43</v>
          </cell>
          <cell r="E29">
            <v>16</v>
          </cell>
          <cell r="F29">
            <v>6</v>
          </cell>
        </row>
        <row r="30">
          <cell r="B30" t="str">
            <v>Columbus, Ohio</v>
          </cell>
          <cell r="C30">
            <v>63</v>
          </cell>
          <cell r="D30">
            <v>44</v>
          </cell>
          <cell r="E30">
            <v>17</v>
          </cell>
          <cell r="F30">
            <v>7</v>
          </cell>
        </row>
        <row r="31">
          <cell r="B31" t="str">
            <v>Nashville, Tennessee</v>
          </cell>
          <cell r="C31">
            <v>70</v>
          </cell>
          <cell r="D31">
            <v>49</v>
          </cell>
          <cell r="E31">
            <v>21</v>
          </cell>
          <cell r="F31">
            <v>9</v>
          </cell>
        </row>
        <row r="32">
          <cell r="B32" t="str">
            <v>Hartford, Connecticut</v>
          </cell>
          <cell r="C32">
            <v>61</v>
          </cell>
          <cell r="D32">
            <v>40</v>
          </cell>
          <cell r="E32">
            <v>16</v>
          </cell>
          <cell r="F32">
            <v>5</v>
          </cell>
        </row>
        <row r="33">
          <cell r="B33" t="str">
            <v>Orlando, Florida</v>
          </cell>
          <cell r="C33">
            <v>83</v>
          </cell>
          <cell r="D33">
            <v>63</v>
          </cell>
          <cell r="E33">
            <v>28</v>
          </cell>
          <cell r="F33">
            <v>17</v>
          </cell>
        </row>
        <row r="34">
          <cell r="B34" t="str">
            <v>Baltimore, Maryland</v>
          </cell>
          <cell r="C34">
            <v>65</v>
          </cell>
          <cell r="D34">
            <v>45</v>
          </cell>
          <cell r="E34">
            <v>18</v>
          </cell>
          <cell r="F34">
            <v>7</v>
          </cell>
        </row>
        <row r="35">
          <cell r="B35" t="str">
            <v>Raleigh, North Carolina</v>
          </cell>
          <cell r="C35">
            <v>72</v>
          </cell>
          <cell r="D35">
            <v>50</v>
          </cell>
          <cell r="E35">
            <v>22</v>
          </cell>
          <cell r="F35">
            <v>10</v>
          </cell>
        </row>
        <row r="36">
          <cell r="B36" t="str">
            <v>Louisville, Kentucky</v>
          </cell>
          <cell r="C36">
            <v>68</v>
          </cell>
          <cell r="D36">
            <v>49</v>
          </cell>
          <cell r="E36">
            <v>20</v>
          </cell>
          <cell r="F36">
            <v>9</v>
          </cell>
        </row>
        <row r="37">
          <cell r="B37" t="str">
            <v>Salt Lake City, Utah</v>
          </cell>
          <cell r="C37">
            <v>64</v>
          </cell>
          <cell r="D37">
            <v>42</v>
          </cell>
          <cell r="E37">
            <v>18</v>
          </cell>
          <cell r="F37">
            <v>5</v>
          </cell>
        </row>
        <row r="38">
          <cell r="B38" t="str">
            <v>Richmond, Virginia</v>
          </cell>
          <cell r="C38">
            <v>70</v>
          </cell>
          <cell r="D38">
            <v>48</v>
          </cell>
          <cell r="E38">
            <v>21</v>
          </cell>
          <cell r="F38">
            <v>9</v>
          </cell>
        </row>
        <row r="39">
          <cell r="B39" t="str">
            <v>Washington, DC</v>
          </cell>
          <cell r="C39">
            <v>67</v>
          </cell>
          <cell r="D39">
            <v>50</v>
          </cell>
          <cell r="E39">
            <v>19</v>
          </cell>
          <cell r="F39">
            <v>10</v>
          </cell>
        </row>
        <row r="40">
          <cell r="B40" t="str">
            <v>Charlotte, North Carolina</v>
          </cell>
          <cell r="C40">
            <v>71</v>
          </cell>
          <cell r="D40">
            <v>49</v>
          </cell>
          <cell r="E40">
            <v>22</v>
          </cell>
          <cell r="F40">
            <v>9</v>
          </cell>
        </row>
        <row r="41">
          <cell r="B41" t="str">
            <v>Detroit, Michigan</v>
          </cell>
          <cell r="C41">
            <v>59</v>
          </cell>
          <cell r="D41">
            <v>42</v>
          </cell>
          <cell r="E41">
            <v>15</v>
          </cell>
          <cell r="F41">
            <v>5</v>
          </cell>
        </row>
        <row r="42">
          <cell r="B42" t="str">
            <v>Rochester, New York</v>
          </cell>
          <cell r="C42">
            <v>57</v>
          </cell>
          <cell r="D42">
            <v>39</v>
          </cell>
          <cell r="E42">
            <v>14</v>
          </cell>
          <cell r="F42">
            <v>4</v>
          </cell>
        </row>
        <row r="43">
          <cell r="B43" t="str">
            <v>Oklahoma City, Oklahoma</v>
          </cell>
          <cell r="C43">
            <v>72</v>
          </cell>
          <cell r="D43">
            <v>51</v>
          </cell>
          <cell r="E43">
            <v>22</v>
          </cell>
          <cell r="F43">
            <v>10</v>
          </cell>
        </row>
        <row r="44">
          <cell r="B44" t="str">
            <v>Jacksonville, Florida</v>
          </cell>
          <cell r="C44">
            <v>79</v>
          </cell>
          <cell r="D44">
            <v>58</v>
          </cell>
          <cell r="E44">
            <v>26</v>
          </cell>
          <cell r="F44">
            <v>14</v>
          </cell>
        </row>
        <row r="45">
          <cell r="B45" t="str">
            <v>Seattle, Washington</v>
          </cell>
          <cell r="C45">
            <v>61</v>
          </cell>
          <cell r="D45">
            <v>46</v>
          </cell>
          <cell r="E45">
            <v>16</v>
          </cell>
          <cell r="F45">
            <v>8</v>
          </cell>
        </row>
        <row r="46">
          <cell r="B46" t="str">
            <v>Riverside, California</v>
          </cell>
          <cell r="C46">
            <v>81</v>
          </cell>
          <cell r="D46">
            <v>53</v>
          </cell>
          <cell r="E46">
            <v>27</v>
          </cell>
          <cell r="F46">
            <v>11</v>
          </cell>
        </row>
        <row r="47">
          <cell r="B47" t="str">
            <v>Milwaukee, Wisconsin</v>
          </cell>
          <cell r="C47">
            <v>56</v>
          </cell>
          <cell r="D47">
            <v>40</v>
          </cell>
          <cell r="E47">
            <v>13</v>
          </cell>
          <cell r="F47">
            <v>5</v>
          </cell>
        </row>
        <row r="48">
          <cell r="B48" t="str">
            <v>Memphis, Tennessee</v>
          </cell>
          <cell r="C48">
            <v>73</v>
          </cell>
          <cell r="D48">
            <v>54</v>
          </cell>
          <cell r="E48">
            <v>23</v>
          </cell>
          <cell r="F48">
            <v>12</v>
          </cell>
        </row>
        <row r="49">
          <cell r="B49" t="str">
            <v>Los Angeles, California</v>
          </cell>
          <cell r="C49">
            <v>75</v>
          </cell>
          <cell r="D49">
            <v>56</v>
          </cell>
          <cell r="E49">
            <v>24</v>
          </cell>
          <cell r="F49">
            <v>13</v>
          </cell>
        </row>
        <row r="50">
          <cell r="B50" t="str">
            <v>San Diego, California</v>
          </cell>
          <cell r="C50">
            <v>70</v>
          </cell>
          <cell r="D50">
            <v>58</v>
          </cell>
          <cell r="E50">
            <v>21</v>
          </cell>
          <cell r="F50">
            <v>14</v>
          </cell>
        </row>
        <row r="51">
          <cell r="B51" t="str">
            <v>Las Vegas, Nevada</v>
          </cell>
          <cell r="C51">
            <v>80</v>
          </cell>
          <cell r="D51">
            <v>59</v>
          </cell>
          <cell r="E51">
            <v>27</v>
          </cell>
          <cell r="F51">
            <v>15</v>
          </cell>
        </row>
        <row r="52">
          <cell r="B52" t="str">
            <v>Philadelphia, Pennsylvania</v>
          </cell>
          <cell r="C52">
            <v>65</v>
          </cell>
          <cell r="D52">
            <v>47</v>
          </cell>
          <cell r="E52">
            <v>18</v>
          </cell>
          <cell r="F52">
            <v>8</v>
          </cell>
        </row>
        <row r="53">
          <cell r="B53" t="str">
            <v>Cincinnati, Ohio</v>
          </cell>
          <cell r="C53">
            <v>65</v>
          </cell>
          <cell r="D53">
            <v>43</v>
          </cell>
          <cell r="E53">
            <v>18</v>
          </cell>
          <cell r="F53">
            <v>6</v>
          </cell>
        </row>
        <row r="54">
          <cell r="B54" t="str">
            <v>Chicago, Illinois</v>
          </cell>
          <cell r="C54">
            <v>59</v>
          </cell>
          <cell r="D54">
            <v>41</v>
          </cell>
          <cell r="E54">
            <v>15</v>
          </cell>
          <cell r="F54">
            <v>5</v>
          </cell>
        </row>
      </sheetData>
      <sheetData sheetId="4">
        <row r="4">
          <cell r="B4" t="str">
            <v>Alphaville</v>
          </cell>
        </row>
        <row r="5">
          <cell r="B5" t="str">
            <v>Betaburg</v>
          </cell>
        </row>
        <row r="6">
          <cell r="B6" t="str">
            <v>Charliefield</v>
          </cell>
        </row>
        <row r="7">
          <cell r="B7" t="str">
            <v>Deltatown</v>
          </cell>
        </row>
        <row r="8">
          <cell r="B8" t="str">
            <v>Echopolis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6" sqref="I6:O6"/>
    </sheetView>
  </sheetViews>
  <sheetFormatPr baseColWidth="10" defaultColWidth="9.83203125" defaultRowHeight="15"/>
  <cols>
    <col min="1" max="1" width="9.83203125" style="15"/>
    <col min="2" max="2" width="12" style="16" customWidth="1"/>
    <col min="3" max="3" width="15.83203125" style="16" customWidth="1"/>
    <col min="4" max="4" width="12.6640625" style="16" customWidth="1"/>
    <col min="5" max="6" width="9.83203125" style="16"/>
    <col min="7" max="7" width="11" style="16" customWidth="1"/>
    <col min="8" max="8" width="19.1640625" style="16" customWidth="1"/>
    <col min="9" max="9" width="3.6640625" style="16" customWidth="1"/>
    <col min="10" max="10" width="3.83203125" style="16" customWidth="1"/>
    <col min="11" max="12" width="12.33203125" style="16" customWidth="1"/>
    <col min="13" max="13" width="47.5" style="16" customWidth="1"/>
    <col min="14" max="14" width="4.5" style="16" customWidth="1"/>
    <col min="15" max="15" width="4" style="16" customWidth="1"/>
    <col min="16" max="16" width="12.33203125" style="16" customWidth="1"/>
    <col min="17" max="16384" width="9.83203125" style="16"/>
  </cols>
  <sheetData>
    <row r="1" spans="1:16">
      <c r="H1" s="17"/>
    </row>
    <row r="2" spans="1:16" ht="35">
      <c r="H2" s="24" t="s">
        <v>24</v>
      </c>
      <c r="I2" s="25"/>
      <c r="J2" s="25"/>
      <c r="K2" s="25"/>
      <c r="L2" s="25"/>
      <c r="M2" s="25"/>
      <c r="N2" s="25"/>
      <c r="O2" s="25"/>
      <c r="P2" s="25"/>
    </row>
    <row r="3" spans="1:16">
      <c r="H3" s="17"/>
    </row>
    <row r="4" spans="1:16" ht="30">
      <c r="H4" s="26" t="s">
        <v>27</v>
      </c>
      <c r="I4" s="27"/>
      <c r="J4" s="27"/>
      <c r="K4" s="27"/>
      <c r="L4" s="27"/>
      <c r="M4" s="27"/>
      <c r="N4" s="27"/>
      <c r="O4" s="27"/>
      <c r="P4" s="27"/>
    </row>
    <row r="5" spans="1:16" ht="16" thickBot="1">
      <c r="H5" s="17"/>
    </row>
    <row r="6" spans="1:16" ht="32" thickBot="1">
      <c r="H6" s="17"/>
      <c r="I6" s="28" t="s">
        <v>25</v>
      </c>
      <c r="J6" s="29"/>
      <c r="K6" s="29"/>
      <c r="L6" s="29"/>
      <c r="M6" s="29"/>
      <c r="N6" s="29"/>
      <c r="O6" s="30"/>
    </row>
    <row r="10" spans="1:16" ht="19" thickBot="1">
      <c r="A10" s="18" t="s">
        <v>26</v>
      </c>
      <c r="B10" s="19"/>
      <c r="C10" s="19"/>
      <c r="D10" s="19"/>
      <c r="E10" s="19"/>
      <c r="F10" s="19"/>
      <c r="G10" s="19"/>
    </row>
    <row r="11" spans="1:16" ht="19" thickTop="1">
      <c r="A11" s="20"/>
      <c r="B11" s="21"/>
      <c r="C11" s="21"/>
      <c r="D11" s="21"/>
      <c r="E11" s="21"/>
      <c r="F11" s="21"/>
      <c r="G11" s="21"/>
      <c r="H11" s="21"/>
    </row>
    <row r="12" spans="1:16" ht="89.5" customHeight="1">
      <c r="B12" s="31" t="s">
        <v>28</v>
      </c>
      <c r="C12" s="31"/>
      <c r="D12" s="31"/>
      <c r="E12" s="31"/>
      <c r="F12" s="31"/>
      <c r="G12" s="31"/>
      <c r="H12" s="31"/>
      <c r="I12" s="22"/>
      <c r="J12" s="22"/>
      <c r="K12" s="22"/>
      <c r="L12" s="22"/>
      <c r="M12" s="22"/>
      <c r="N12" s="22"/>
      <c r="O12" s="22"/>
    </row>
    <row r="13" spans="1:16" ht="9" customHeight="1"/>
    <row r="14" spans="1:16" ht="5.5" customHeight="1"/>
    <row r="15" spans="1:16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N45"/>
  <sheetViews>
    <sheetView showGridLines="0" tabSelected="1" topLeftCell="AK2" zoomScale="108" zoomScaleNormal="91" workbookViewId="0">
      <selection activeCell="AZ12" sqref="AZ12"/>
    </sheetView>
  </sheetViews>
  <sheetFormatPr baseColWidth="10" defaultColWidth="8.83203125" defaultRowHeight="15"/>
  <cols>
    <col min="1" max="1" width="4.6640625" customWidth="1"/>
    <col min="2" max="2" width="16" bestFit="1" customWidth="1"/>
    <col min="3" max="3" width="42.6640625" bestFit="1" customWidth="1"/>
    <col min="4" max="4" width="12.83203125" bestFit="1" customWidth="1"/>
    <col min="5" max="5" width="12.1640625" bestFit="1" customWidth="1"/>
    <col min="6" max="52" width="10.6640625" bestFit="1" customWidth="1"/>
    <col min="53" max="53" width="10" bestFit="1" customWidth="1"/>
    <col min="54" max="54" width="9.83203125" bestFit="1" customWidth="1"/>
    <col min="55" max="55" width="9.33203125" bestFit="1" customWidth="1"/>
    <col min="56" max="56" width="9.5" bestFit="1" customWidth="1"/>
    <col min="57" max="57" width="10" bestFit="1" customWidth="1"/>
    <col min="58" max="58" width="9.5" bestFit="1" customWidth="1"/>
    <col min="59" max="59" width="10.1640625" bestFit="1" customWidth="1"/>
    <col min="60" max="60" width="9.5" bestFit="1" customWidth="1"/>
    <col min="61" max="61" width="9" bestFit="1" customWidth="1"/>
    <col min="62" max="62" width="9.83203125" bestFit="1" customWidth="1"/>
    <col min="63" max="64" width="9.5" bestFit="1" customWidth="1"/>
    <col min="65" max="65" width="10" bestFit="1" customWidth="1"/>
    <col min="66" max="66" width="9.83203125" bestFit="1" customWidth="1"/>
  </cols>
  <sheetData>
    <row r="3" spans="1:66">
      <c r="A3" s="1"/>
      <c r="B3" s="1" t="s">
        <v>0</v>
      </c>
      <c r="C3" s="1"/>
      <c r="D3" s="1"/>
      <c r="E3" s="1"/>
      <c r="F3" s="1"/>
      <c r="G3" s="1"/>
    </row>
    <row r="5" spans="1:66">
      <c r="C5" t="s">
        <v>1</v>
      </c>
      <c r="F5" s="2">
        <v>1000</v>
      </c>
      <c r="G5" s="32">
        <f>Model_Start_Date</f>
        <v>43101</v>
      </c>
      <c r="H5" s="12">
        <f>G6+1</f>
        <v>43132</v>
      </c>
      <c r="I5" s="12">
        <f t="shared" ref="I5:Y5" si="0">H6+1</f>
        <v>43160</v>
      </c>
      <c r="J5" s="12">
        <f t="shared" si="0"/>
        <v>43191</v>
      </c>
      <c r="K5" s="12">
        <f t="shared" si="0"/>
        <v>43221</v>
      </c>
      <c r="L5" s="12">
        <f t="shared" si="0"/>
        <v>43252</v>
      </c>
      <c r="M5" s="12">
        <f t="shared" si="0"/>
        <v>43282</v>
      </c>
      <c r="N5" s="12">
        <f t="shared" si="0"/>
        <v>43313</v>
      </c>
      <c r="O5" s="12">
        <f t="shared" si="0"/>
        <v>43344</v>
      </c>
      <c r="P5" s="12">
        <f t="shared" si="0"/>
        <v>43374</v>
      </c>
      <c r="Q5" s="12">
        <f>P6+1</f>
        <v>43405</v>
      </c>
      <c r="R5" s="12">
        <f t="shared" si="0"/>
        <v>43435</v>
      </c>
      <c r="S5" s="12">
        <f t="shared" si="0"/>
        <v>43466</v>
      </c>
      <c r="T5" s="12">
        <f>S6+1</f>
        <v>43497</v>
      </c>
      <c r="U5" s="12">
        <f t="shared" si="0"/>
        <v>43525</v>
      </c>
      <c r="V5" s="12">
        <f t="shared" si="0"/>
        <v>43556</v>
      </c>
      <c r="W5" s="12">
        <f t="shared" si="0"/>
        <v>43586</v>
      </c>
      <c r="X5" s="12">
        <f t="shared" si="0"/>
        <v>43617</v>
      </c>
      <c r="Y5" s="12">
        <f t="shared" si="0"/>
        <v>43647</v>
      </c>
      <c r="Z5" s="12">
        <f>Y6+1</f>
        <v>43678</v>
      </c>
      <c r="AA5" s="12">
        <f>Z6+1</f>
        <v>43709</v>
      </c>
      <c r="AB5" s="12">
        <f>AA6+1</f>
        <v>43739</v>
      </c>
      <c r="AC5" s="12">
        <f t="shared" ref="AC5:BN5" si="1">AB6+1</f>
        <v>43770</v>
      </c>
      <c r="AD5" s="12">
        <f t="shared" si="1"/>
        <v>43800</v>
      </c>
      <c r="AE5" s="12">
        <f t="shared" si="1"/>
        <v>43831</v>
      </c>
      <c r="AF5" s="12">
        <f t="shared" si="1"/>
        <v>43862</v>
      </c>
      <c r="AG5" s="12">
        <f t="shared" si="1"/>
        <v>43891</v>
      </c>
      <c r="AH5" s="12">
        <f t="shared" si="1"/>
        <v>43922</v>
      </c>
      <c r="AI5" s="12">
        <f t="shared" si="1"/>
        <v>43952</v>
      </c>
      <c r="AJ5" s="12">
        <f t="shared" si="1"/>
        <v>43983</v>
      </c>
      <c r="AK5" s="12">
        <f t="shared" si="1"/>
        <v>44013</v>
      </c>
      <c r="AL5" s="12">
        <f t="shared" si="1"/>
        <v>44044</v>
      </c>
      <c r="AM5" s="12">
        <f t="shared" si="1"/>
        <v>44075</v>
      </c>
      <c r="AN5" s="12">
        <f t="shared" si="1"/>
        <v>44105</v>
      </c>
      <c r="AO5" s="12">
        <f t="shared" si="1"/>
        <v>44136</v>
      </c>
      <c r="AP5" s="12">
        <f t="shared" si="1"/>
        <v>44166</v>
      </c>
      <c r="AQ5" s="12">
        <f t="shared" si="1"/>
        <v>44197</v>
      </c>
      <c r="AR5" s="12">
        <f t="shared" si="1"/>
        <v>44228</v>
      </c>
      <c r="AS5" s="12">
        <f t="shared" si="1"/>
        <v>44256</v>
      </c>
      <c r="AT5" s="12">
        <f t="shared" si="1"/>
        <v>44287</v>
      </c>
      <c r="AU5" s="12">
        <f t="shared" si="1"/>
        <v>44317</v>
      </c>
      <c r="AV5" s="12">
        <f t="shared" si="1"/>
        <v>44348</v>
      </c>
      <c r="AW5" s="12">
        <f t="shared" si="1"/>
        <v>44378</v>
      </c>
      <c r="AX5" s="12">
        <f t="shared" si="1"/>
        <v>44409</v>
      </c>
      <c r="AY5" s="12">
        <f t="shared" si="1"/>
        <v>44440</v>
      </c>
      <c r="AZ5" s="12">
        <f t="shared" si="1"/>
        <v>44470</v>
      </c>
      <c r="BA5" s="12">
        <f t="shared" si="1"/>
        <v>44501</v>
      </c>
      <c r="BB5" s="12">
        <f t="shared" si="1"/>
        <v>44531</v>
      </c>
      <c r="BC5" s="12">
        <f t="shared" si="1"/>
        <v>44562</v>
      </c>
      <c r="BD5" s="12">
        <f t="shared" si="1"/>
        <v>44593</v>
      </c>
      <c r="BE5" s="12">
        <f t="shared" si="1"/>
        <v>44621</v>
      </c>
      <c r="BF5" s="12">
        <f t="shared" si="1"/>
        <v>44652</v>
      </c>
      <c r="BG5" s="12">
        <f t="shared" si="1"/>
        <v>44682</v>
      </c>
      <c r="BH5" s="12">
        <f t="shared" si="1"/>
        <v>44713</v>
      </c>
      <c r="BI5" s="12">
        <f t="shared" si="1"/>
        <v>44743</v>
      </c>
      <c r="BJ5" s="12">
        <f t="shared" si="1"/>
        <v>44774</v>
      </c>
      <c r="BK5" s="12">
        <f t="shared" si="1"/>
        <v>44805</v>
      </c>
      <c r="BL5" s="12">
        <f t="shared" si="1"/>
        <v>44835</v>
      </c>
      <c r="BM5" s="12">
        <f t="shared" si="1"/>
        <v>44866</v>
      </c>
      <c r="BN5" s="12">
        <f t="shared" si="1"/>
        <v>44896</v>
      </c>
    </row>
    <row r="6" spans="1:66">
      <c r="C6" t="s">
        <v>2</v>
      </c>
      <c r="F6" s="3">
        <v>1000</v>
      </c>
      <c r="G6" s="12">
        <f>EOMONTH(G5, 0)</f>
        <v>43131</v>
      </c>
      <c r="H6" s="12">
        <f>EOMONTH(H5, 0)</f>
        <v>43159</v>
      </c>
      <c r="I6" s="12">
        <f t="shared" ref="I6:L6" si="2">EOMONTH(I5, 0)</f>
        <v>43190</v>
      </c>
      <c r="J6" s="12">
        <f t="shared" si="2"/>
        <v>43220</v>
      </c>
      <c r="K6" s="12">
        <f t="shared" si="2"/>
        <v>43251</v>
      </c>
      <c r="L6" s="12">
        <f t="shared" si="2"/>
        <v>43281</v>
      </c>
      <c r="M6" s="12">
        <f t="shared" ref="M6" si="3">EOMONTH(M5, 0)</f>
        <v>43312</v>
      </c>
      <c r="N6" s="12">
        <f t="shared" ref="N6" si="4">EOMONTH(N5, 0)</f>
        <v>43343</v>
      </c>
      <c r="O6" s="12">
        <f t="shared" ref="O6:P6" si="5">EOMONTH(O5, 0)</f>
        <v>43373</v>
      </c>
      <c r="P6" s="12">
        <f t="shared" si="5"/>
        <v>43404</v>
      </c>
      <c r="Q6" s="12">
        <f>EOMONTH(Q5, 0)</f>
        <v>43434</v>
      </c>
      <c r="R6" s="12">
        <f t="shared" ref="R6" si="6">EOMONTH(R5, 0)</f>
        <v>43465</v>
      </c>
      <c r="S6" s="12">
        <f t="shared" ref="S6" si="7">EOMONTH(S5, 0)</f>
        <v>43496</v>
      </c>
      <c r="T6" s="12">
        <f>EOMONTH(T5, 0)</f>
        <v>43524</v>
      </c>
      <c r="U6" s="12">
        <f t="shared" ref="U6" si="8">EOMONTH(U5, 0)</f>
        <v>43555</v>
      </c>
      <c r="V6" s="12">
        <f t="shared" ref="V6" si="9">EOMONTH(V5, 0)</f>
        <v>43585</v>
      </c>
      <c r="W6" s="12">
        <f t="shared" ref="W6" si="10">EOMONTH(W5, 0)</f>
        <v>43616</v>
      </c>
      <c r="X6" s="12">
        <f t="shared" ref="X6" si="11">EOMONTH(X5, 0)</f>
        <v>43646</v>
      </c>
      <c r="Y6" s="12">
        <f t="shared" ref="Y6" si="12">EOMONTH(Y5, 0)</f>
        <v>43677</v>
      </c>
      <c r="Z6" s="12">
        <f>EOMONTH(Z5, 0)</f>
        <v>43708</v>
      </c>
      <c r="AA6" s="12">
        <f>EOMONTH(AA5, 0)</f>
        <v>43738</v>
      </c>
      <c r="AB6" s="12">
        <f>EOMONTH(AB5, 0)</f>
        <v>43769</v>
      </c>
      <c r="AC6" s="12">
        <f t="shared" ref="AC6:AL6" si="13">EOMONTH(AC5, 0)</f>
        <v>43799</v>
      </c>
      <c r="AD6" s="12">
        <f t="shared" si="13"/>
        <v>43830</v>
      </c>
      <c r="AE6" s="12">
        <f t="shared" si="13"/>
        <v>43861</v>
      </c>
      <c r="AF6" s="12">
        <f t="shared" si="13"/>
        <v>43890</v>
      </c>
      <c r="AG6" s="12">
        <f t="shared" si="13"/>
        <v>43921</v>
      </c>
      <c r="AH6" s="12">
        <f t="shared" si="13"/>
        <v>43951</v>
      </c>
      <c r="AI6" s="12">
        <f t="shared" si="13"/>
        <v>43982</v>
      </c>
      <c r="AJ6" s="12">
        <f t="shared" si="13"/>
        <v>44012</v>
      </c>
      <c r="AK6" s="12">
        <f t="shared" si="13"/>
        <v>44043</v>
      </c>
      <c r="AL6" s="12">
        <f t="shared" si="13"/>
        <v>44074</v>
      </c>
      <c r="AM6" s="12">
        <f t="shared" ref="AM6" si="14">EOMONTH(AM5, 0)</f>
        <v>44104</v>
      </c>
      <c r="AN6" s="12">
        <f t="shared" ref="AN6" si="15">EOMONTH(AN5, 0)</f>
        <v>44135</v>
      </c>
      <c r="AO6" s="12">
        <f t="shared" ref="AO6" si="16">EOMONTH(AO5, 0)</f>
        <v>44165</v>
      </c>
      <c r="AP6" s="12">
        <f t="shared" ref="AP6" si="17">EOMONTH(AP5, 0)</f>
        <v>44196</v>
      </c>
      <c r="AQ6" s="12">
        <f t="shared" ref="AQ6" si="18">EOMONTH(AQ5, 0)</f>
        <v>44227</v>
      </c>
      <c r="AR6" s="12">
        <f t="shared" ref="AR6" si="19">EOMONTH(AR5, 0)</f>
        <v>44255</v>
      </c>
      <c r="AS6" s="12">
        <f t="shared" ref="AS6" si="20">EOMONTH(AS5, 0)</f>
        <v>44286</v>
      </c>
      <c r="AT6" s="12">
        <f t="shared" ref="AT6" si="21">EOMONTH(AT5, 0)</f>
        <v>44316</v>
      </c>
      <c r="AU6" s="12">
        <f t="shared" ref="AU6" si="22">EOMONTH(AU5, 0)</f>
        <v>44347</v>
      </c>
      <c r="AV6" s="12">
        <f t="shared" ref="AV6" si="23">EOMONTH(AV5, 0)</f>
        <v>44377</v>
      </c>
      <c r="AW6" s="12">
        <f t="shared" ref="AW6" si="24">EOMONTH(AW5, 0)</f>
        <v>44408</v>
      </c>
      <c r="AX6" s="12">
        <f t="shared" ref="AX6" si="25">EOMONTH(AX5, 0)</f>
        <v>44439</v>
      </c>
      <c r="AY6" s="12">
        <f t="shared" ref="AY6" si="26">EOMONTH(AY5, 0)</f>
        <v>44469</v>
      </c>
      <c r="AZ6" s="12">
        <f t="shared" ref="AZ6" si="27">EOMONTH(AZ5, 0)</f>
        <v>44500</v>
      </c>
      <c r="BA6" s="12">
        <f t="shared" ref="BA6" si="28">EOMONTH(BA5, 0)</f>
        <v>44530</v>
      </c>
      <c r="BB6" s="12">
        <f t="shared" ref="BB6" si="29">EOMONTH(BB5, 0)</f>
        <v>44561</v>
      </c>
      <c r="BC6" s="12">
        <f t="shared" ref="BC6" si="30">EOMONTH(BC5, 0)</f>
        <v>44592</v>
      </c>
      <c r="BD6" s="12">
        <f t="shared" ref="BD6" si="31">EOMONTH(BD5, 0)</f>
        <v>44620</v>
      </c>
      <c r="BE6" s="12">
        <f t="shared" ref="BE6" si="32">EOMONTH(BE5, 0)</f>
        <v>44651</v>
      </c>
      <c r="BF6" s="12">
        <f t="shared" ref="BF6" si="33">EOMONTH(BF5, 0)</f>
        <v>44681</v>
      </c>
      <c r="BG6" s="12">
        <f t="shared" ref="BG6" si="34">EOMONTH(BG5, 0)</f>
        <v>44712</v>
      </c>
      <c r="BH6" s="12">
        <f t="shared" ref="BH6" si="35">EOMONTH(BH5, 0)</f>
        <v>44742</v>
      </c>
      <c r="BI6" s="12">
        <f t="shared" ref="BI6" si="36">EOMONTH(BI5, 0)</f>
        <v>44773</v>
      </c>
      <c r="BJ6" s="12">
        <f t="shared" ref="BJ6" si="37">EOMONTH(BJ5, 0)</f>
        <v>44804</v>
      </c>
      <c r="BK6" s="12">
        <f t="shared" ref="BK6" si="38">EOMONTH(BK5, 0)</f>
        <v>44834</v>
      </c>
      <c r="BL6" s="12">
        <f t="shared" ref="BL6" si="39">EOMONTH(BL5, 0)</f>
        <v>44865</v>
      </c>
      <c r="BM6" s="12">
        <f t="shared" ref="BM6" si="40">EOMONTH(BM5, 0)</f>
        <v>44895</v>
      </c>
      <c r="BN6" s="12">
        <f t="shared" ref="BN6" si="41">EOMONTH(BN5, 0)</f>
        <v>44926</v>
      </c>
    </row>
    <row r="7" spans="1:66">
      <c r="C7" t="s">
        <v>3</v>
      </c>
      <c r="F7" s="4">
        <v>1000</v>
      </c>
      <c r="G7">
        <f>MONTH(G5)</f>
        <v>1</v>
      </c>
      <c r="H7">
        <f>MONTH(H5)</f>
        <v>2</v>
      </c>
      <c r="I7">
        <f t="shared" ref="I7:BN7" si="42">MONTH(I5)</f>
        <v>3</v>
      </c>
      <c r="J7">
        <f t="shared" si="42"/>
        <v>4</v>
      </c>
      <c r="K7">
        <f t="shared" si="42"/>
        <v>5</v>
      </c>
      <c r="L7">
        <f t="shared" si="42"/>
        <v>6</v>
      </c>
      <c r="M7">
        <f t="shared" si="42"/>
        <v>7</v>
      </c>
      <c r="N7">
        <f t="shared" si="42"/>
        <v>8</v>
      </c>
      <c r="O7">
        <f t="shared" si="42"/>
        <v>9</v>
      </c>
      <c r="P7">
        <f t="shared" si="42"/>
        <v>10</v>
      </c>
      <c r="Q7">
        <f t="shared" si="42"/>
        <v>11</v>
      </c>
      <c r="R7">
        <f t="shared" si="42"/>
        <v>12</v>
      </c>
      <c r="S7">
        <f t="shared" si="42"/>
        <v>1</v>
      </c>
      <c r="T7">
        <f t="shared" si="42"/>
        <v>2</v>
      </c>
      <c r="U7">
        <f t="shared" si="42"/>
        <v>3</v>
      </c>
      <c r="V7">
        <f t="shared" si="42"/>
        <v>4</v>
      </c>
      <c r="W7">
        <f t="shared" si="42"/>
        <v>5</v>
      </c>
      <c r="X7">
        <f t="shared" si="42"/>
        <v>6</v>
      </c>
      <c r="Y7">
        <f t="shared" si="42"/>
        <v>7</v>
      </c>
      <c r="Z7">
        <f>MONTH(Z5)</f>
        <v>8</v>
      </c>
      <c r="AA7">
        <f>MONTH(AA5)</f>
        <v>9</v>
      </c>
      <c r="AB7">
        <f t="shared" si="42"/>
        <v>10</v>
      </c>
      <c r="AC7">
        <f t="shared" si="42"/>
        <v>11</v>
      </c>
      <c r="AD7">
        <f t="shared" si="42"/>
        <v>12</v>
      </c>
      <c r="AE7">
        <f t="shared" si="42"/>
        <v>1</v>
      </c>
      <c r="AF7">
        <f t="shared" si="42"/>
        <v>2</v>
      </c>
      <c r="AG7">
        <f t="shared" si="42"/>
        <v>3</v>
      </c>
      <c r="AH7">
        <f t="shared" si="42"/>
        <v>4</v>
      </c>
      <c r="AI7">
        <f t="shared" si="42"/>
        <v>5</v>
      </c>
      <c r="AJ7">
        <f t="shared" si="42"/>
        <v>6</v>
      </c>
      <c r="AK7">
        <f t="shared" si="42"/>
        <v>7</v>
      </c>
      <c r="AL7">
        <f t="shared" si="42"/>
        <v>8</v>
      </c>
      <c r="AM7">
        <f t="shared" si="42"/>
        <v>9</v>
      </c>
      <c r="AN7">
        <f t="shared" si="42"/>
        <v>10</v>
      </c>
      <c r="AO7">
        <f t="shared" si="42"/>
        <v>11</v>
      </c>
      <c r="AP7">
        <f t="shared" si="42"/>
        <v>12</v>
      </c>
      <c r="AQ7">
        <f t="shared" si="42"/>
        <v>1</v>
      </c>
      <c r="AR7">
        <f t="shared" si="42"/>
        <v>2</v>
      </c>
      <c r="AS7">
        <f t="shared" si="42"/>
        <v>3</v>
      </c>
      <c r="AT7">
        <f t="shared" si="42"/>
        <v>4</v>
      </c>
      <c r="AU7">
        <f t="shared" si="42"/>
        <v>5</v>
      </c>
      <c r="AV7">
        <f t="shared" si="42"/>
        <v>6</v>
      </c>
      <c r="AW7">
        <f t="shared" si="42"/>
        <v>7</v>
      </c>
      <c r="AX7">
        <f t="shared" si="42"/>
        <v>8</v>
      </c>
      <c r="AY7">
        <f t="shared" si="42"/>
        <v>9</v>
      </c>
      <c r="AZ7">
        <f t="shared" si="42"/>
        <v>10</v>
      </c>
      <c r="BA7">
        <f t="shared" si="42"/>
        <v>11</v>
      </c>
      <c r="BB7">
        <f t="shared" si="42"/>
        <v>12</v>
      </c>
      <c r="BC7">
        <f t="shared" si="42"/>
        <v>1</v>
      </c>
      <c r="BD7">
        <f t="shared" si="42"/>
        <v>2</v>
      </c>
      <c r="BE7">
        <f t="shared" si="42"/>
        <v>3</v>
      </c>
      <c r="BF7">
        <f t="shared" si="42"/>
        <v>4</v>
      </c>
      <c r="BG7">
        <f t="shared" si="42"/>
        <v>5</v>
      </c>
      <c r="BH7">
        <f t="shared" si="42"/>
        <v>6</v>
      </c>
      <c r="BI7">
        <f t="shared" si="42"/>
        <v>7</v>
      </c>
      <c r="BJ7">
        <f t="shared" si="42"/>
        <v>8</v>
      </c>
      <c r="BK7">
        <f t="shared" si="42"/>
        <v>9</v>
      </c>
      <c r="BL7">
        <f t="shared" si="42"/>
        <v>10</v>
      </c>
      <c r="BM7">
        <f t="shared" si="42"/>
        <v>11</v>
      </c>
      <c r="BN7">
        <f t="shared" si="42"/>
        <v>12</v>
      </c>
    </row>
    <row r="8" spans="1:66">
      <c r="C8" t="s">
        <v>4</v>
      </c>
      <c r="F8" s="5">
        <v>1000</v>
      </c>
      <c r="G8">
        <f>YEAR(G5)</f>
        <v>2018</v>
      </c>
      <c r="H8">
        <f t="shared" ref="H8:BN8" si="43">YEAR(H5)</f>
        <v>2018</v>
      </c>
      <c r="I8">
        <f t="shared" si="43"/>
        <v>2018</v>
      </c>
      <c r="J8">
        <f t="shared" si="43"/>
        <v>2018</v>
      </c>
      <c r="K8">
        <f t="shared" si="43"/>
        <v>2018</v>
      </c>
      <c r="L8">
        <f t="shared" si="43"/>
        <v>2018</v>
      </c>
      <c r="M8">
        <f t="shared" si="43"/>
        <v>2018</v>
      </c>
      <c r="N8">
        <f t="shared" si="43"/>
        <v>2018</v>
      </c>
      <c r="O8">
        <f t="shared" si="43"/>
        <v>2018</v>
      </c>
      <c r="P8">
        <f t="shared" si="43"/>
        <v>2018</v>
      </c>
      <c r="Q8">
        <f t="shared" si="43"/>
        <v>2018</v>
      </c>
      <c r="R8">
        <f t="shared" si="43"/>
        <v>2018</v>
      </c>
      <c r="S8">
        <f t="shared" si="43"/>
        <v>2019</v>
      </c>
      <c r="T8">
        <f t="shared" si="43"/>
        <v>2019</v>
      </c>
      <c r="U8">
        <f t="shared" si="43"/>
        <v>2019</v>
      </c>
      <c r="V8">
        <f>YEAR(V5)</f>
        <v>2019</v>
      </c>
      <c r="W8">
        <f t="shared" si="43"/>
        <v>2019</v>
      </c>
      <c r="X8">
        <f t="shared" si="43"/>
        <v>2019</v>
      </c>
      <c r="Y8">
        <f t="shared" si="43"/>
        <v>2019</v>
      </c>
      <c r="Z8">
        <f t="shared" si="43"/>
        <v>2019</v>
      </c>
      <c r="AA8">
        <f t="shared" si="43"/>
        <v>2019</v>
      </c>
      <c r="AB8">
        <f t="shared" si="43"/>
        <v>2019</v>
      </c>
      <c r="AC8">
        <f t="shared" si="43"/>
        <v>2019</v>
      </c>
      <c r="AD8">
        <f t="shared" si="43"/>
        <v>2019</v>
      </c>
      <c r="AE8">
        <f t="shared" si="43"/>
        <v>2020</v>
      </c>
      <c r="AF8">
        <f t="shared" si="43"/>
        <v>2020</v>
      </c>
      <c r="AG8">
        <f t="shared" si="43"/>
        <v>2020</v>
      </c>
      <c r="AH8">
        <f t="shared" si="43"/>
        <v>2020</v>
      </c>
      <c r="AI8">
        <f t="shared" si="43"/>
        <v>2020</v>
      </c>
      <c r="AJ8">
        <f t="shared" si="43"/>
        <v>2020</v>
      </c>
      <c r="AK8">
        <f t="shared" si="43"/>
        <v>2020</v>
      </c>
      <c r="AL8">
        <f t="shared" si="43"/>
        <v>2020</v>
      </c>
      <c r="AM8">
        <f t="shared" si="43"/>
        <v>2020</v>
      </c>
      <c r="AN8">
        <f t="shared" si="43"/>
        <v>2020</v>
      </c>
      <c r="AO8">
        <f t="shared" si="43"/>
        <v>2020</v>
      </c>
      <c r="AP8">
        <f t="shared" si="43"/>
        <v>2020</v>
      </c>
      <c r="AQ8">
        <f t="shared" si="43"/>
        <v>2021</v>
      </c>
      <c r="AR8">
        <f t="shared" si="43"/>
        <v>2021</v>
      </c>
      <c r="AS8">
        <f t="shared" si="43"/>
        <v>2021</v>
      </c>
      <c r="AT8">
        <f t="shared" si="43"/>
        <v>2021</v>
      </c>
      <c r="AU8">
        <f t="shared" si="43"/>
        <v>2021</v>
      </c>
      <c r="AV8">
        <f t="shared" si="43"/>
        <v>2021</v>
      </c>
      <c r="AW8">
        <f t="shared" si="43"/>
        <v>2021</v>
      </c>
      <c r="AX8">
        <f t="shared" si="43"/>
        <v>2021</v>
      </c>
      <c r="AY8">
        <f t="shared" si="43"/>
        <v>2021</v>
      </c>
      <c r="AZ8">
        <f t="shared" si="43"/>
        <v>2021</v>
      </c>
      <c r="BA8">
        <f t="shared" si="43"/>
        <v>2021</v>
      </c>
      <c r="BB8">
        <f t="shared" si="43"/>
        <v>2021</v>
      </c>
      <c r="BC8">
        <f t="shared" si="43"/>
        <v>2022</v>
      </c>
      <c r="BD8">
        <f t="shared" si="43"/>
        <v>2022</v>
      </c>
      <c r="BE8">
        <f t="shared" si="43"/>
        <v>2022</v>
      </c>
      <c r="BF8">
        <f t="shared" si="43"/>
        <v>2022</v>
      </c>
      <c r="BG8">
        <f t="shared" si="43"/>
        <v>2022</v>
      </c>
      <c r="BH8">
        <f t="shared" si="43"/>
        <v>2022</v>
      </c>
      <c r="BI8">
        <f t="shared" si="43"/>
        <v>2022</v>
      </c>
      <c r="BJ8">
        <f t="shared" si="43"/>
        <v>2022</v>
      </c>
      <c r="BK8">
        <f t="shared" si="43"/>
        <v>2022</v>
      </c>
      <c r="BL8">
        <f t="shared" si="43"/>
        <v>2022</v>
      </c>
      <c r="BM8">
        <f t="shared" si="43"/>
        <v>2022</v>
      </c>
      <c r="BN8">
        <f t="shared" si="43"/>
        <v>2022</v>
      </c>
    </row>
    <row r="9" spans="1:66">
      <c r="C9" t="s">
        <v>22</v>
      </c>
      <c r="F9" s="14" t="s">
        <v>23</v>
      </c>
    </row>
    <row r="11" spans="1:66" ht="21">
      <c r="A11" s="1"/>
      <c r="B11" s="1" t="s">
        <v>5</v>
      </c>
      <c r="C11" s="1"/>
      <c r="D11" s="1"/>
      <c r="E11" s="1"/>
      <c r="F11" s="37">
        <v>1</v>
      </c>
      <c r="G11" s="33">
        <f>F11*(1+IF(G$7=Inputs!$F$32,INDEX(Inputs!$F$26:$F$30,MATCH(G$8,Inputs!$E$26:$E$30,0)),0))</f>
        <v>1</v>
      </c>
      <c r="H11" s="33">
        <f>G11*(1+IF(H$7=Inputs!$F$32,INDEX(Inputs!$F$26:$F$30,MATCH(H$8,Inputs!$E$26:$E$30,0)),0))</f>
        <v>1</v>
      </c>
      <c r="I11" s="33">
        <f>H11*(1+IF(I$7=Inputs!$F$32,INDEX(Inputs!$F$26:$F$30,MATCH(I$8,Inputs!$E$26:$E$30,0)),0))</f>
        <v>1</v>
      </c>
      <c r="J11" s="33">
        <f>I11*(1+IF(J$7=Inputs!$F$32,INDEX(Inputs!$F$26:$F$30,MATCH(J$8,Inputs!$E$26:$E$30,0)),0))</f>
        <v>1</v>
      </c>
      <c r="K11" s="33">
        <f>J11*(1+IF(K$7=Inputs!$F$32,INDEX(Inputs!$F$26:$F$30,MATCH(K$8,Inputs!$E$26:$E$30,0)),0))</f>
        <v>1</v>
      </c>
      <c r="L11" s="33">
        <f>K11*(1+IF(L$7=Inputs!$F$32,INDEX(Inputs!$F$26:$F$30,MATCH(L$8,Inputs!$E$26:$E$30,0)),0))</f>
        <v>1</v>
      </c>
      <c r="M11" s="33">
        <f>L11*(1+IF(M$7=Inputs!$F$32,INDEX(Inputs!$F$26:$F$30,MATCH(M$8,Inputs!$E$26:$E$30,0)),0))</f>
        <v>1.05</v>
      </c>
      <c r="N11" s="33">
        <f>M11*(1+IF(N$7=Inputs!$F$32,INDEX(Inputs!$F$26:$F$30,MATCH(N$8,Inputs!$E$26:$E$30,0)),0))</f>
        <v>1.05</v>
      </c>
      <c r="O11" s="33">
        <f>N11*(1+IF(O$7=Inputs!$F$32,INDEX(Inputs!$F$26:$F$30,MATCH(O$8,Inputs!$E$26:$E$30,0)),0))</f>
        <v>1.05</v>
      </c>
      <c r="P11" s="33">
        <f>O11*(1+IF(P$7=Inputs!$F$32,INDEX(Inputs!$F$26:$F$30,MATCH(P$8,Inputs!$E$26:$E$30,0)),0))</f>
        <v>1.05</v>
      </c>
      <c r="Q11" s="33">
        <f>P11*(1+IF(Q$7=Inputs!$F$32,INDEX(Inputs!$F$26:$F$30,MATCH(Q$8,Inputs!$E$26:$E$30,0)),0))</f>
        <v>1.05</v>
      </c>
      <c r="R11" s="33">
        <f>Q11*(1+IF(R$7=Inputs!$F$32,INDEX(Inputs!$F$26:$F$30,MATCH(R$8,Inputs!$E$26:$E$30,0)),0))</f>
        <v>1.05</v>
      </c>
      <c r="S11" s="33">
        <f>R11*(1+IF(S$7=Inputs!$F$32,INDEX(Inputs!$F$26:$F$30,MATCH(S$8,Inputs!$E$26:$E$30,0)),0))</f>
        <v>1.05</v>
      </c>
      <c r="T11" s="33">
        <f>S11*(1+IF(T$7=Inputs!$F$32,INDEX(Inputs!$F$26:$F$30,MATCH(T$8,Inputs!$E$26:$E$30,0)),0))</f>
        <v>1.05</v>
      </c>
      <c r="U11" s="33">
        <f>T11*(1+IF(U$7=Inputs!$F$32,INDEX(Inputs!$F$26:$F$30,MATCH(U$8,Inputs!$E$26:$E$30,0)),0))</f>
        <v>1.05</v>
      </c>
      <c r="V11" s="33">
        <f>U11*(1+IF(V$7=Inputs!$F$32,INDEX(Inputs!$F$26:$F$30,MATCH(V$8,Inputs!$E$26:$E$30,0)),0))</f>
        <v>1.05</v>
      </c>
      <c r="W11" s="33">
        <f>V11*(1+IF(W$7=Inputs!$F$32,INDEX(Inputs!$F$26:$F$30,MATCH(W$8,Inputs!$E$26:$E$30,0)),0))</f>
        <v>1.05</v>
      </c>
      <c r="X11" s="33">
        <f>W11*(1+IF(X$7=Inputs!$F$32,INDEX(Inputs!$F$26:$F$30,MATCH(X$8,Inputs!$E$26:$E$30,0)),0))</f>
        <v>1.05</v>
      </c>
      <c r="Y11" s="33">
        <f>X11*(1+IF(Y$7=Inputs!$F$32,INDEX(Inputs!$F$26:$F$30,MATCH(Y$8,Inputs!$E$26:$E$30,0)),0))</f>
        <v>1.0941000000000001</v>
      </c>
      <c r="Z11" s="33">
        <f>Y11*(1+IF(Z$7=Inputs!$F$32,INDEX(Inputs!$F$26:$F$30,MATCH(Z$8,Inputs!$E$26:$E$30,0)),0))</f>
        <v>1.0941000000000001</v>
      </c>
      <c r="AA11" s="33">
        <f>Z11*(1+IF(AA$7=Inputs!$F$32,INDEX(Inputs!$F$26:$F$30,MATCH(AA$8,Inputs!$E$26:$E$30,0)),0))</f>
        <v>1.0941000000000001</v>
      </c>
      <c r="AB11" s="33">
        <f>AA11*(1+IF(AB$7=Inputs!$F$32,INDEX(Inputs!$F$26:$F$30,MATCH(AB$8,Inputs!$E$26:$E$30,0)),0))</f>
        <v>1.0941000000000001</v>
      </c>
      <c r="AC11" s="33">
        <f>AB11*(1+IF(AC$7=Inputs!$F$32,INDEX(Inputs!$F$26:$F$30,MATCH(AC$8,Inputs!$E$26:$E$30,0)),0))</f>
        <v>1.0941000000000001</v>
      </c>
      <c r="AD11" s="33">
        <f>AC11*(1+IF(AD$7=Inputs!$F$32,INDEX(Inputs!$F$26:$F$30,MATCH(AD$8,Inputs!$E$26:$E$30,0)),0))</f>
        <v>1.0941000000000001</v>
      </c>
      <c r="AE11" s="33">
        <f>AD11*(1+IF(AE$7=Inputs!$F$32,INDEX(Inputs!$F$26:$F$30,MATCH(AE$8,Inputs!$E$26:$E$30,0)),0))</f>
        <v>1.0941000000000001</v>
      </c>
      <c r="AF11" s="33">
        <f>AE11*(1+IF(AF$7=Inputs!$F$32,INDEX(Inputs!$F$26:$F$30,MATCH(AF$8,Inputs!$E$26:$E$30,0)),0))</f>
        <v>1.0941000000000001</v>
      </c>
      <c r="AG11" s="33">
        <f>AF11*(1+IF(AG$7=Inputs!$F$32,INDEX(Inputs!$F$26:$F$30,MATCH(AG$8,Inputs!$E$26:$E$30,0)),0))</f>
        <v>1.0941000000000001</v>
      </c>
      <c r="AH11" s="33">
        <f>AG11*(1+IF(AH$7=Inputs!$F$32,INDEX(Inputs!$F$26:$F$30,MATCH(AH$8,Inputs!$E$26:$E$30,0)),0))</f>
        <v>1.0941000000000001</v>
      </c>
      <c r="AI11" s="33">
        <f>AH11*(1+IF(AI$7=Inputs!$F$32,INDEX(Inputs!$F$26:$F$30,MATCH(AI$8,Inputs!$E$26:$E$30,0)),0))</f>
        <v>1.0941000000000001</v>
      </c>
      <c r="AJ11" s="33">
        <f>AI11*(1+IF(AJ$7=Inputs!$F$32,INDEX(Inputs!$F$26:$F$30,MATCH(AJ$8,Inputs!$E$26:$E$30,0)),0))</f>
        <v>1.0941000000000001</v>
      </c>
      <c r="AK11" s="33">
        <f>AJ11*(1+IF(AK$7=Inputs!$F$32,INDEX(Inputs!$F$26:$F$30,MATCH(AK$8,Inputs!$E$26:$E$30,0)),0))</f>
        <v>1.16116833</v>
      </c>
      <c r="AL11" s="33">
        <f>AK11*(1+IF(AL$7=Inputs!$F$32,INDEX(Inputs!$F$26:$F$30,MATCH(AL$8,Inputs!$E$26:$E$30,0)),0))</f>
        <v>1.16116833</v>
      </c>
      <c r="AM11" s="33">
        <f>AL11*(1+IF(AM$7=Inputs!$F$32,INDEX(Inputs!$F$26:$F$30,MATCH(AM$8,Inputs!$E$26:$E$30,0)),0))</f>
        <v>1.16116833</v>
      </c>
      <c r="AN11" s="33">
        <f>AM11*(1+IF(AN$7=Inputs!$F$32,INDEX(Inputs!$F$26:$F$30,MATCH(AN$8,Inputs!$E$26:$E$30,0)),0))</f>
        <v>1.16116833</v>
      </c>
      <c r="AO11" s="33">
        <f>AN11*(1+IF(AO$7=Inputs!$F$32,INDEX(Inputs!$F$26:$F$30,MATCH(AO$8,Inputs!$E$26:$E$30,0)),0))</f>
        <v>1.16116833</v>
      </c>
      <c r="AP11" s="33">
        <f>AO11*(1+IF(AP$7=Inputs!$F$32,INDEX(Inputs!$F$26:$F$30,MATCH(AP$8,Inputs!$E$26:$E$30,0)),0))</f>
        <v>1.16116833</v>
      </c>
      <c r="AQ11" s="33">
        <f>AP11*(1+IF(AQ$7=Inputs!$F$32,INDEX(Inputs!$F$26:$F$30,MATCH(AQ$8,Inputs!$E$26:$E$30,0)),0))</f>
        <v>1.16116833</v>
      </c>
      <c r="AR11" s="33">
        <f>AQ11*(1+IF(AR$7=Inputs!$F$32,INDEX(Inputs!$F$26:$F$30,MATCH(AR$8,Inputs!$E$26:$E$30,0)),0))</f>
        <v>1.16116833</v>
      </c>
      <c r="AS11" s="33">
        <f>AR11*(1+IF(AS$7=Inputs!$F$32,INDEX(Inputs!$F$26:$F$30,MATCH(AS$8,Inputs!$E$26:$E$30,0)),0))</f>
        <v>1.16116833</v>
      </c>
      <c r="AT11" s="33">
        <f>AS11*(1+IF(AT$7=Inputs!$F$32,INDEX(Inputs!$F$26:$F$30,MATCH(AT$8,Inputs!$E$26:$E$30,0)),0))</f>
        <v>1.16116833</v>
      </c>
      <c r="AU11" s="33">
        <f>AT11*(1+IF(AU$7=Inputs!$F$32,INDEX(Inputs!$F$26:$F$30,MATCH(AU$8,Inputs!$E$26:$E$30,0)),0))</f>
        <v>1.16116833</v>
      </c>
      <c r="AV11" s="33">
        <f>AU11*(1+IF(AV$7=Inputs!$F$32,INDEX(Inputs!$F$26:$F$30,MATCH(AV$8,Inputs!$E$26:$E$30,0)),0))</f>
        <v>1.16116833</v>
      </c>
      <c r="AW11" s="33">
        <f>AV11*(1+IF(AW$7=Inputs!$F$32,INDEX(Inputs!$F$26:$F$30,MATCH(AW$8,Inputs!$E$26:$E$30,0)),0))</f>
        <v>1.1739411816299998</v>
      </c>
      <c r="AX11" s="33">
        <f>AW11*(1+IF(AX$7=Inputs!$F$32,INDEX(Inputs!$F$26:$F$30,MATCH(AX$8,Inputs!$E$26:$E$30,0)),0))</f>
        <v>1.1739411816299998</v>
      </c>
      <c r="AY11" s="33">
        <f>AX11*(1+IF(AY$7=Inputs!$F$32,INDEX(Inputs!$F$26:$F$30,MATCH(AY$8,Inputs!$E$26:$E$30,0)),0))</f>
        <v>1.1739411816299998</v>
      </c>
      <c r="AZ11" s="33">
        <f>AY11*(1+IF(AZ$7=Inputs!$F$32,INDEX(Inputs!$F$26:$F$30,MATCH(AZ$8,Inputs!$E$26:$E$30,0)),0))</f>
        <v>1.1739411816299998</v>
      </c>
      <c r="BA11" s="33">
        <f>AZ11*(1+IF(BA$7=Inputs!$F$32,INDEX(Inputs!$F$26:$F$30,MATCH(BA$8,Inputs!$E$26:$E$30,0)),0))</f>
        <v>1.1739411816299998</v>
      </c>
      <c r="BB11" s="33">
        <f>BA11*(1+IF(BB$7=Inputs!$F$32,INDEX(Inputs!$F$26:$F$30,MATCH(BB$8,Inputs!$E$26:$E$30,0)),0))</f>
        <v>1.1739411816299998</v>
      </c>
      <c r="BC11" s="33">
        <f>BB11*(1+IF(BC$7=Inputs!$F$32,INDEX(Inputs!$F$26:$F$30,MATCH(BC$8,Inputs!$E$26:$E$30,0)),0))</f>
        <v>1.1739411816299998</v>
      </c>
      <c r="BD11" s="33">
        <f>BC11*(1+IF(BD$7=Inputs!$F$32,INDEX(Inputs!$F$26:$F$30,MATCH(BD$8,Inputs!$E$26:$E$30,0)),0))</f>
        <v>1.1739411816299998</v>
      </c>
      <c r="BE11" s="33">
        <f>BD11*(1+IF(BE$7=Inputs!$F$32,INDEX(Inputs!$F$26:$F$30,MATCH(BE$8,Inputs!$E$26:$E$30,0)),0))</f>
        <v>1.1739411816299998</v>
      </c>
      <c r="BF11" s="33">
        <f>BE11*(1+IF(BF$7=Inputs!$F$32,INDEX(Inputs!$F$26:$F$30,MATCH(BF$8,Inputs!$E$26:$E$30,0)),0))</f>
        <v>1.1739411816299998</v>
      </c>
      <c r="BG11" s="33">
        <f>BF11*(1+IF(BG$7=Inputs!$F$32,INDEX(Inputs!$F$26:$F$30,MATCH(BG$8,Inputs!$E$26:$E$30,0)),0))</f>
        <v>1.1739411816299998</v>
      </c>
      <c r="BH11" s="33">
        <f>BG11*(1+IF(BH$7=Inputs!$F$32,INDEX(Inputs!$F$26:$F$30,MATCH(BH$8,Inputs!$E$26:$E$30,0)),0))</f>
        <v>1.1739411816299998</v>
      </c>
      <c r="BI11" s="33">
        <f>BH11*(1+IF(BI$7=Inputs!$F$32,INDEX(Inputs!$F$26:$F$30,MATCH(BI$8,Inputs!$E$26:$E$30,0)),0))</f>
        <v>1.2032897111707497</v>
      </c>
      <c r="BJ11" s="33">
        <f>BI11*(1+IF(BJ$7=Inputs!$F$32,INDEX(Inputs!$F$26:$F$30,MATCH(BJ$8,Inputs!$E$26:$E$30,0)),0))</f>
        <v>1.2032897111707497</v>
      </c>
      <c r="BK11" s="33">
        <f>BJ11*(1+IF(BK$7=Inputs!$F$32,INDEX(Inputs!$F$26:$F$30,MATCH(BK$8,Inputs!$E$26:$E$30,0)),0))</f>
        <v>1.2032897111707497</v>
      </c>
      <c r="BL11" s="33">
        <f>BK11*(1+IF(BL$7=Inputs!$F$32,INDEX(Inputs!$F$26:$F$30,MATCH(BL$8,Inputs!$E$26:$E$30,0)),0))</f>
        <v>1.2032897111707497</v>
      </c>
      <c r="BM11" s="33">
        <f>BL11*(1+IF(BM$7=Inputs!$F$32,INDEX(Inputs!$F$26:$F$30,MATCH(BM$8,Inputs!$E$26:$E$30,0)),0))</f>
        <v>1.2032897111707497</v>
      </c>
      <c r="BN11" s="33">
        <f>BM11*(1+IF(BN$7=Inputs!$F$32,INDEX(Inputs!$F$26:$F$30,MATCH(BN$8,Inputs!$E$26:$E$30,0)),0))</f>
        <v>1.2032897111707497</v>
      </c>
    </row>
    <row r="12" spans="1:66" s="34" customFormat="1">
      <c r="F12" s="34">
        <v>1</v>
      </c>
      <c r="G12" s="34">
        <f>F12*(1+IF(G$7=Inputs!$F$42,INDEX(Inputs!$F$36:$F$40,MATCH(G$8,Inputs!$E$36:$E$40,0)),0))</f>
        <v>1</v>
      </c>
      <c r="H12" s="34">
        <f>G12*(1+IF(H$7=Inputs!$F$42,INDEX(Inputs!$F$36:$F$40,MATCH(H$8,Inputs!$E$36:$E$40,0)),0))</f>
        <v>1</v>
      </c>
      <c r="I12" s="34">
        <f>H12*(1+IF(I$7=Inputs!$F$42,INDEX(Inputs!$F$36:$F$40,MATCH(I$8,Inputs!$E$36:$E$40,0)),0))</f>
        <v>1</v>
      </c>
      <c r="J12" s="34">
        <f>I12*(1+IF(J$7=Inputs!$F$42,INDEX(Inputs!$F$36:$F$40,MATCH(J$8,Inputs!$E$36:$E$40,0)),0))</f>
        <v>1.03</v>
      </c>
      <c r="K12" s="34">
        <f>J12*(1+IF(K$7=Inputs!$F$42,INDEX(Inputs!$F$36:$F$40,MATCH(K$8,Inputs!$E$36:$E$40,0)),0))</f>
        <v>1.03</v>
      </c>
      <c r="L12" s="34">
        <f>K12*(1+IF(L$7=Inputs!$F$42,INDEX(Inputs!$F$36:$F$40,MATCH(L$8,Inputs!$E$36:$E$40,0)),0))</f>
        <v>1.03</v>
      </c>
      <c r="M12" s="34">
        <f>L12*(1+IF(M$7=Inputs!$F$42,INDEX(Inputs!$F$36:$F$40,MATCH(M$8,Inputs!$E$36:$E$40,0)),0))</f>
        <v>1.03</v>
      </c>
      <c r="N12" s="34">
        <f>M12*(1+IF(N$7=Inputs!$F$42,INDEX(Inputs!$F$36:$F$40,MATCH(N$8,Inputs!$E$36:$E$40,0)),0))</f>
        <v>1.03</v>
      </c>
      <c r="O12" s="34">
        <f>N12*(1+IF(O$7=Inputs!$F$42,INDEX(Inputs!$F$36:$F$40,MATCH(O$8,Inputs!$E$36:$E$40,0)),0))</f>
        <v>1.03</v>
      </c>
      <c r="P12" s="34">
        <f>O12*(1+IF(P$7=Inputs!$F$42,INDEX(Inputs!$F$36:$F$40,MATCH(P$8,Inputs!$E$36:$E$40,0)),0))</f>
        <v>1.03</v>
      </c>
      <c r="Q12" s="34">
        <f>P12*(1+IF(Q$7=Inputs!$F$42,INDEX(Inputs!$F$36:$F$40,MATCH(Q$8,Inputs!$E$36:$E$40,0)),0))</f>
        <v>1.03</v>
      </c>
      <c r="R12" s="34">
        <f>Q12*(1+IF(R$7=Inputs!$F$42,INDEX(Inputs!$F$36:$F$40,MATCH(R$8,Inputs!$E$36:$E$40,0)),0))</f>
        <v>1.03</v>
      </c>
      <c r="S12" s="34">
        <f>R12*(1+IF(S$7=Inputs!$F$42,INDEX(Inputs!$F$36:$F$40,MATCH(S$8,Inputs!$E$36:$E$40,0)),0))</f>
        <v>1.03</v>
      </c>
      <c r="T12" s="34">
        <f>S12*(1+IF(T$7=Inputs!$F$42,INDEX(Inputs!$F$36:$F$40,MATCH(T$8,Inputs!$E$36:$E$40,0)),0))</f>
        <v>1.03</v>
      </c>
      <c r="U12" s="34">
        <f>T12*(1+IF(U$7=Inputs!$F$42,INDEX(Inputs!$F$36:$F$40,MATCH(U$8,Inputs!$E$36:$E$40,0)),0))</f>
        <v>1.03</v>
      </c>
      <c r="V12" s="34">
        <f>U12*(1+IF(V$7=Inputs!$F$42,INDEX(Inputs!$F$36:$F$40,MATCH(V$8,Inputs!$E$36:$E$40,0)),0))</f>
        <v>1.0712000000000002</v>
      </c>
      <c r="W12" s="34">
        <f>V12*(1+IF(W$7=Inputs!$F$42,INDEX(Inputs!$F$36:$F$40,MATCH(W$8,Inputs!$E$36:$E$40,0)),0))</f>
        <v>1.0712000000000002</v>
      </c>
      <c r="X12" s="34">
        <f>W12*(1+IF(X$7=Inputs!$F$42,INDEX(Inputs!$F$36:$F$40,MATCH(X$8,Inputs!$E$36:$E$40,0)),0))</f>
        <v>1.0712000000000002</v>
      </c>
      <c r="Y12" s="34">
        <f>X12*(1+IF(Y$7=Inputs!$F$42,INDEX(Inputs!$F$36:$F$40,MATCH(Y$8,Inputs!$E$36:$E$40,0)),0))</f>
        <v>1.0712000000000002</v>
      </c>
      <c r="Z12" s="34">
        <f>Y12*(1+IF(Z$7=Inputs!$F$42,INDEX(Inputs!$F$36:$F$40,MATCH(Z$8,Inputs!$E$36:$E$40,0)),0))</f>
        <v>1.0712000000000002</v>
      </c>
      <c r="AA12" s="34">
        <f>Z12*(1+IF(AA$7=Inputs!$F$42,INDEX(Inputs!$F$36:$F$40,MATCH(AA$8,Inputs!$E$36:$E$40,0)),0))</f>
        <v>1.0712000000000002</v>
      </c>
      <c r="AB12" s="34">
        <f>AA12*(1+IF(AB$7=Inputs!$F$42,INDEX(Inputs!$F$36:$F$40,MATCH(AB$8,Inputs!$E$36:$E$40,0)),0))</f>
        <v>1.0712000000000002</v>
      </c>
      <c r="AC12" s="34">
        <f>AB12*(1+IF(AC$7=Inputs!$F$42,INDEX(Inputs!$F$36:$F$40,MATCH(AC$8,Inputs!$E$36:$E$40,0)),0))</f>
        <v>1.0712000000000002</v>
      </c>
      <c r="AD12" s="34">
        <f>AC12*(1+IF(AD$7=Inputs!$F$42,INDEX(Inputs!$F$36:$F$40,MATCH(AD$8,Inputs!$E$36:$E$40,0)),0))</f>
        <v>1.0712000000000002</v>
      </c>
      <c r="AE12" s="34">
        <f>AD12*(1+IF(AE$7=Inputs!$F$42,INDEX(Inputs!$F$36:$F$40,MATCH(AE$8,Inputs!$E$36:$E$40,0)),0))</f>
        <v>1.0712000000000002</v>
      </c>
      <c r="AF12" s="34">
        <f>AE12*(1+IF(AF$7=Inputs!$F$42,INDEX(Inputs!$F$36:$F$40,MATCH(AF$8,Inputs!$E$36:$E$40,0)),0))</f>
        <v>1.0712000000000002</v>
      </c>
      <c r="AG12" s="34">
        <f>AF12*(1+IF(AG$7=Inputs!$F$42,INDEX(Inputs!$F$36:$F$40,MATCH(AG$8,Inputs!$E$36:$E$40,0)),0))</f>
        <v>1.0712000000000002</v>
      </c>
      <c r="AH12" s="34">
        <f>AG12*(1+IF(AH$7=Inputs!$F$42,INDEX(Inputs!$F$36:$F$40,MATCH(AH$8,Inputs!$E$36:$E$40,0)),0))</f>
        <v>1.1247600000000002</v>
      </c>
      <c r="AI12" s="34">
        <f>AH12*(1+IF(AI$7=Inputs!$F$42,INDEX(Inputs!$F$36:$F$40,MATCH(AI$8,Inputs!$E$36:$E$40,0)),0))</f>
        <v>1.1247600000000002</v>
      </c>
      <c r="AJ12" s="34">
        <f>AI12*(1+IF(AJ$7=Inputs!$F$42,INDEX(Inputs!$F$36:$F$40,MATCH(AJ$8,Inputs!$E$36:$E$40,0)),0))</f>
        <v>1.1247600000000002</v>
      </c>
      <c r="AK12" s="34">
        <f>AJ12*(1+IF(AK$7=Inputs!$F$42,INDEX(Inputs!$F$36:$F$40,MATCH(AK$8,Inputs!$E$36:$E$40,0)),0))</f>
        <v>1.1247600000000002</v>
      </c>
      <c r="AL12" s="34">
        <f>AK12*(1+IF(AL$7=Inputs!$F$42,INDEX(Inputs!$F$36:$F$40,MATCH(AL$8,Inputs!$E$36:$E$40,0)),0))</f>
        <v>1.1247600000000002</v>
      </c>
      <c r="AM12" s="34">
        <f>AL12*(1+IF(AM$7=Inputs!$F$42,INDEX(Inputs!$F$36:$F$40,MATCH(AM$8,Inputs!$E$36:$E$40,0)),0))</f>
        <v>1.1247600000000002</v>
      </c>
      <c r="AN12" s="34">
        <f>AM12*(1+IF(AN$7=Inputs!$F$42,INDEX(Inputs!$F$36:$F$40,MATCH(AN$8,Inputs!$E$36:$E$40,0)),0))</f>
        <v>1.1247600000000002</v>
      </c>
      <c r="AO12" s="34">
        <f>AN12*(1+IF(AO$7=Inputs!$F$42,INDEX(Inputs!$F$36:$F$40,MATCH(AO$8,Inputs!$E$36:$E$40,0)),0))</f>
        <v>1.1247600000000002</v>
      </c>
      <c r="AP12" s="34">
        <f>AO12*(1+IF(AP$7=Inputs!$F$42,INDEX(Inputs!$F$36:$F$40,MATCH(AP$8,Inputs!$E$36:$E$40,0)),0))</f>
        <v>1.1247600000000002</v>
      </c>
      <c r="AQ12" s="34">
        <f>AP12*(1+IF(AQ$7=Inputs!$F$42,INDEX(Inputs!$F$36:$F$40,MATCH(AQ$8,Inputs!$E$36:$E$40,0)),0))</f>
        <v>1.1247600000000002</v>
      </c>
      <c r="AR12" s="34">
        <f>AQ12*(1+IF(AR$7=Inputs!$F$42,INDEX(Inputs!$F$36:$F$40,MATCH(AR$8,Inputs!$E$36:$E$40,0)),0))</f>
        <v>1.1247600000000002</v>
      </c>
      <c r="AS12" s="34">
        <f>AR12*(1+IF(AS$7=Inputs!$F$42,INDEX(Inputs!$F$36:$F$40,MATCH(AS$8,Inputs!$E$36:$E$40,0)),0))</f>
        <v>1.1247600000000002</v>
      </c>
      <c r="AT12" s="34">
        <f>AS12*(1+IF(AT$7=Inputs!$F$42,INDEX(Inputs!$F$36:$F$40,MATCH(AT$8,Inputs!$E$36:$E$40,0)),0))</f>
        <v>1.1697504000000003</v>
      </c>
      <c r="AU12" s="34">
        <f>AT12*(1+IF(AU$7=Inputs!$F$42,INDEX(Inputs!$F$36:$F$40,MATCH(AU$8,Inputs!$E$36:$E$40,0)),0))</f>
        <v>1.1697504000000003</v>
      </c>
      <c r="AV12" s="34">
        <f>AU12*(1+IF(AV$7=Inputs!$F$42,INDEX(Inputs!$F$36:$F$40,MATCH(AV$8,Inputs!$E$36:$E$40,0)),0))</f>
        <v>1.1697504000000003</v>
      </c>
      <c r="AW12" s="34">
        <f>AV12*(1+IF(AW$7=Inputs!$F$42,INDEX(Inputs!$F$36:$F$40,MATCH(AW$8,Inputs!$E$36:$E$40,0)),0))</f>
        <v>1.1697504000000003</v>
      </c>
      <c r="AX12" s="34">
        <f>AW12*(1+IF(AX$7=Inputs!$F$42,INDEX(Inputs!$F$36:$F$40,MATCH(AX$8,Inputs!$E$36:$E$40,0)),0))</f>
        <v>1.1697504000000003</v>
      </c>
      <c r="AY12" s="34">
        <f>AX12*(1+IF(AY$7=Inputs!$F$42,INDEX(Inputs!$F$36:$F$40,MATCH(AY$8,Inputs!$E$36:$E$40,0)),0))</f>
        <v>1.1697504000000003</v>
      </c>
      <c r="AZ12" s="34">
        <f>AY12*(1+IF(AZ$7=Inputs!$F$42,INDEX(Inputs!$F$36:$F$40,MATCH(AZ$8,Inputs!$E$36:$E$40,0)),0))</f>
        <v>1.1697504000000003</v>
      </c>
      <c r="BA12" s="34">
        <f>AZ12*(1+IF(BA$7=Inputs!$F$42,INDEX(Inputs!$F$36:$F$40,MATCH(BA$8,Inputs!$E$36:$E$40,0)),0))</f>
        <v>1.1697504000000003</v>
      </c>
      <c r="BB12" s="34">
        <f>BA12*(1+IF(BB$7=Inputs!$F$42,INDEX(Inputs!$F$36:$F$40,MATCH(BB$8,Inputs!$E$36:$E$40,0)),0))</f>
        <v>1.1697504000000003</v>
      </c>
      <c r="BC12" s="34">
        <f>BB12*(1+IF(BC$7=Inputs!$F$42,INDEX(Inputs!$F$36:$F$40,MATCH(BC$8,Inputs!$E$36:$E$40,0)),0))</f>
        <v>1.1697504000000003</v>
      </c>
      <c r="BD12" s="34">
        <f>BC12*(1+IF(BD$7=Inputs!$F$42,INDEX(Inputs!$F$36:$F$40,MATCH(BD$8,Inputs!$E$36:$E$40,0)),0))</f>
        <v>1.1697504000000003</v>
      </c>
      <c r="BE12" s="34">
        <f>BD12*(1+IF(BE$7=Inputs!$F$42,INDEX(Inputs!$F$36:$F$40,MATCH(BE$8,Inputs!$E$36:$E$40,0)),0))</f>
        <v>1.1697504000000003</v>
      </c>
      <c r="BF12" s="34">
        <f>BE12*(1+IF(BF$7=Inputs!$F$42,INDEX(Inputs!$F$36:$F$40,MATCH(BF$8,Inputs!$E$36:$E$40,0)),0))</f>
        <v>1.2048429120000004</v>
      </c>
      <c r="BG12" s="34">
        <f>BF12*(1+IF(BG$7=Inputs!$F$42,INDEX(Inputs!$F$36:$F$40,MATCH(BG$8,Inputs!$E$36:$E$40,0)),0))</f>
        <v>1.2048429120000004</v>
      </c>
      <c r="BH12" s="34">
        <f>BG12*(1+IF(BH$7=Inputs!$F$42,INDEX(Inputs!$F$36:$F$40,MATCH(BH$8,Inputs!$E$36:$E$40,0)),0))</f>
        <v>1.2048429120000004</v>
      </c>
      <c r="BI12" s="34">
        <f>BH12*(1+IF(BI$7=Inputs!$F$42,INDEX(Inputs!$F$36:$F$40,MATCH(BI$8,Inputs!$E$36:$E$40,0)),0))</f>
        <v>1.2048429120000004</v>
      </c>
      <c r="BJ12" s="34">
        <f>BI12*(1+IF(BJ$7=Inputs!$F$42,INDEX(Inputs!$F$36:$F$40,MATCH(BJ$8,Inputs!$E$36:$E$40,0)),0))</f>
        <v>1.2048429120000004</v>
      </c>
      <c r="BK12" s="34">
        <f>BJ12*(1+IF(BK$7=Inputs!$F$42,INDEX(Inputs!$F$36:$F$40,MATCH(BK$8,Inputs!$E$36:$E$40,0)),0))</f>
        <v>1.2048429120000004</v>
      </c>
      <c r="BL12" s="34">
        <f>BK12*(1+IF(BL$7=Inputs!$F$42,INDEX(Inputs!$F$36:$F$40,MATCH(BL$8,Inputs!$E$36:$E$40,0)),0))</f>
        <v>1.2048429120000004</v>
      </c>
      <c r="BM12" s="34">
        <f>BL12*(1+IF(BM$7=Inputs!$F$42,INDEX(Inputs!$F$36:$F$40,MATCH(BM$8,Inputs!$E$36:$E$40,0)),0))</f>
        <v>1.2048429120000004</v>
      </c>
      <c r="BN12" s="34">
        <f>BM12*(1+IF(BN$7=Inputs!$F$42,INDEX(Inputs!$F$36:$F$40,MATCH(BN$8,Inputs!$E$36:$E$40,0)),0))</f>
        <v>1.2048429120000004</v>
      </c>
    </row>
    <row r="13" spans="1:66">
      <c r="B13" s="6" t="s">
        <v>6</v>
      </c>
    </row>
    <row r="14" spans="1:66">
      <c r="C14" t="s">
        <v>7</v>
      </c>
      <c r="F14" s="7">
        <v>43101</v>
      </c>
    </row>
    <row r="15" spans="1:66">
      <c r="C15" t="s">
        <v>8</v>
      </c>
      <c r="F15" s="3">
        <v>60</v>
      </c>
    </row>
    <row r="16" spans="1:66">
      <c r="C16" t="s">
        <v>18</v>
      </c>
      <c r="E16" s="35">
        <f>SUM(G16:BN16)</f>
        <v>5022768.9304938391</v>
      </c>
      <c r="F16" s="12">
        <f>EOMONTH(F14,F15-1)</f>
        <v>44926</v>
      </c>
      <c r="G16">
        <f>$F$19*G11</f>
        <v>75000</v>
      </c>
      <c r="H16">
        <f t="shared" ref="H16:BN16" si="44">$F$19*H11</f>
        <v>75000</v>
      </c>
      <c r="I16">
        <f t="shared" si="44"/>
        <v>75000</v>
      </c>
      <c r="J16">
        <f t="shared" si="44"/>
        <v>75000</v>
      </c>
      <c r="K16">
        <f t="shared" si="44"/>
        <v>75000</v>
      </c>
      <c r="L16">
        <f t="shared" si="44"/>
        <v>75000</v>
      </c>
      <c r="M16">
        <f t="shared" si="44"/>
        <v>78750</v>
      </c>
      <c r="N16">
        <f t="shared" si="44"/>
        <v>78750</v>
      </c>
      <c r="O16">
        <f t="shared" si="44"/>
        <v>78750</v>
      </c>
      <c r="P16">
        <f t="shared" si="44"/>
        <v>78750</v>
      </c>
      <c r="Q16">
        <f t="shared" si="44"/>
        <v>78750</v>
      </c>
      <c r="R16">
        <f t="shared" si="44"/>
        <v>78750</v>
      </c>
      <c r="S16">
        <f t="shared" si="44"/>
        <v>78750</v>
      </c>
      <c r="T16">
        <f t="shared" si="44"/>
        <v>78750</v>
      </c>
      <c r="U16">
        <f t="shared" si="44"/>
        <v>78750</v>
      </c>
      <c r="V16">
        <f t="shared" si="44"/>
        <v>78750</v>
      </c>
      <c r="W16">
        <f t="shared" si="44"/>
        <v>78750</v>
      </c>
      <c r="X16">
        <f t="shared" si="44"/>
        <v>78750</v>
      </c>
      <c r="Y16">
        <f t="shared" si="44"/>
        <v>82057.5</v>
      </c>
      <c r="Z16">
        <f t="shared" si="44"/>
        <v>82057.5</v>
      </c>
      <c r="AA16">
        <f t="shared" si="44"/>
        <v>82057.5</v>
      </c>
      <c r="AB16">
        <f t="shared" si="44"/>
        <v>82057.5</v>
      </c>
      <c r="AC16">
        <f t="shared" si="44"/>
        <v>82057.5</v>
      </c>
      <c r="AD16">
        <f t="shared" si="44"/>
        <v>82057.5</v>
      </c>
      <c r="AE16">
        <f t="shared" si="44"/>
        <v>82057.5</v>
      </c>
      <c r="AF16">
        <f t="shared" si="44"/>
        <v>82057.5</v>
      </c>
      <c r="AG16">
        <f t="shared" si="44"/>
        <v>82057.5</v>
      </c>
      <c r="AH16">
        <f t="shared" si="44"/>
        <v>82057.5</v>
      </c>
      <c r="AI16">
        <f t="shared" si="44"/>
        <v>82057.5</v>
      </c>
      <c r="AJ16">
        <f t="shared" si="44"/>
        <v>82057.5</v>
      </c>
      <c r="AK16">
        <f t="shared" si="44"/>
        <v>87087.624750000003</v>
      </c>
      <c r="AL16">
        <f t="shared" si="44"/>
        <v>87087.624750000003</v>
      </c>
      <c r="AM16">
        <f t="shared" si="44"/>
        <v>87087.624750000003</v>
      </c>
      <c r="AN16">
        <f t="shared" si="44"/>
        <v>87087.624750000003</v>
      </c>
      <c r="AO16">
        <f t="shared" si="44"/>
        <v>87087.624750000003</v>
      </c>
      <c r="AP16">
        <f t="shared" si="44"/>
        <v>87087.624750000003</v>
      </c>
      <c r="AQ16">
        <f t="shared" si="44"/>
        <v>87087.624750000003</v>
      </c>
      <c r="AR16">
        <f t="shared" si="44"/>
        <v>87087.624750000003</v>
      </c>
      <c r="AS16">
        <f t="shared" si="44"/>
        <v>87087.624750000003</v>
      </c>
      <c r="AT16">
        <f t="shared" si="44"/>
        <v>87087.624750000003</v>
      </c>
      <c r="AU16">
        <f t="shared" si="44"/>
        <v>87087.624750000003</v>
      </c>
      <c r="AV16">
        <f t="shared" si="44"/>
        <v>87087.624750000003</v>
      </c>
      <c r="AW16">
        <f t="shared" si="44"/>
        <v>88045.588622249983</v>
      </c>
      <c r="AX16">
        <f t="shared" si="44"/>
        <v>88045.588622249983</v>
      </c>
      <c r="AY16">
        <f t="shared" si="44"/>
        <v>88045.588622249983</v>
      </c>
      <c r="AZ16">
        <f t="shared" si="44"/>
        <v>88045.588622249983</v>
      </c>
      <c r="BA16">
        <f t="shared" si="44"/>
        <v>88045.588622249983</v>
      </c>
      <c r="BB16">
        <f t="shared" si="44"/>
        <v>88045.588622249983</v>
      </c>
      <c r="BC16">
        <f t="shared" si="44"/>
        <v>88045.588622249983</v>
      </c>
      <c r="BD16">
        <f t="shared" si="44"/>
        <v>88045.588622249983</v>
      </c>
      <c r="BE16">
        <f t="shared" si="44"/>
        <v>88045.588622249983</v>
      </c>
      <c r="BF16">
        <f t="shared" si="44"/>
        <v>88045.588622249983</v>
      </c>
      <c r="BG16">
        <f t="shared" si="44"/>
        <v>88045.588622249983</v>
      </c>
      <c r="BH16">
        <f t="shared" si="44"/>
        <v>88045.588622249983</v>
      </c>
      <c r="BI16">
        <f t="shared" si="44"/>
        <v>90246.728337806228</v>
      </c>
      <c r="BJ16">
        <f t="shared" si="44"/>
        <v>90246.728337806228</v>
      </c>
      <c r="BK16">
        <f t="shared" si="44"/>
        <v>90246.728337806228</v>
      </c>
      <c r="BL16">
        <f t="shared" si="44"/>
        <v>90246.728337806228</v>
      </c>
      <c r="BM16">
        <f t="shared" si="44"/>
        <v>90246.728337806228</v>
      </c>
      <c r="BN16">
        <f t="shared" si="44"/>
        <v>90246.728337806228</v>
      </c>
    </row>
    <row r="17" spans="2:66">
      <c r="G17">
        <f>$F$20*G16</f>
        <v>48750</v>
      </c>
      <c r="H17">
        <f>$F$20*H16</f>
        <v>48750</v>
      </c>
      <c r="I17">
        <f t="shared" ref="I17:BN17" si="45">$F$20*I16</f>
        <v>48750</v>
      </c>
      <c r="J17">
        <f t="shared" si="45"/>
        <v>48750</v>
      </c>
      <c r="K17">
        <f t="shared" si="45"/>
        <v>48750</v>
      </c>
      <c r="L17">
        <f t="shared" si="45"/>
        <v>48750</v>
      </c>
      <c r="M17">
        <f t="shared" si="45"/>
        <v>51187.5</v>
      </c>
      <c r="N17">
        <f t="shared" si="45"/>
        <v>51187.5</v>
      </c>
      <c r="O17">
        <f t="shared" si="45"/>
        <v>51187.5</v>
      </c>
      <c r="P17">
        <f t="shared" si="45"/>
        <v>51187.5</v>
      </c>
      <c r="Q17">
        <f t="shared" si="45"/>
        <v>51187.5</v>
      </c>
      <c r="R17">
        <f t="shared" si="45"/>
        <v>51187.5</v>
      </c>
      <c r="S17">
        <f t="shared" si="45"/>
        <v>51187.5</v>
      </c>
      <c r="T17">
        <f t="shared" si="45"/>
        <v>51187.5</v>
      </c>
      <c r="U17">
        <f t="shared" si="45"/>
        <v>51187.5</v>
      </c>
      <c r="V17">
        <f t="shared" si="45"/>
        <v>51187.5</v>
      </c>
      <c r="W17">
        <f t="shared" si="45"/>
        <v>51187.5</v>
      </c>
      <c r="X17">
        <f t="shared" si="45"/>
        <v>51187.5</v>
      </c>
      <c r="Y17">
        <f t="shared" si="45"/>
        <v>53337.375</v>
      </c>
      <c r="Z17">
        <f t="shared" si="45"/>
        <v>53337.375</v>
      </c>
      <c r="AA17">
        <f t="shared" si="45"/>
        <v>53337.375</v>
      </c>
      <c r="AB17">
        <f t="shared" si="45"/>
        <v>53337.375</v>
      </c>
      <c r="AC17">
        <f t="shared" si="45"/>
        <v>53337.375</v>
      </c>
      <c r="AD17">
        <f t="shared" si="45"/>
        <v>53337.375</v>
      </c>
      <c r="AE17">
        <f t="shared" si="45"/>
        <v>53337.375</v>
      </c>
      <c r="AF17">
        <f t="shared" si="45"/>
        <v>53337.375</v>
      </c>
      <c r="AG17">
        <f t="shared" si="45"/>
        <v>53337.375</v>
      </c>
      <c r="AH17">
        <f t="shared" si="45"/>
        <v>53337.375</v>
      </c>
      <c r="AI17">
        <f t="shared" si="45"/>
        <v>53337.375</v>
      </c>
      <c r="AJ17">
        <f t="shared" si="45"/>
        <v>53337.375</v>
      </c>
      <c r="AK17">
        <f t="shared" si="45"/>
        <v>56606.956087500002</v>
      </c>
      <c r="AL17">
        <f t="shared" si="45"/>
        <v>56606.956087500002</v>
      </c>
      <c r="AM17">
        <f t="shared" si="45"/>
        <v>56606.956087500002</v>
      </c>
      <c r="AN17">
        <f t="shared" si="45"/>
        <v>56606.956087500002</v>
      </c>
      <c r="AO17">
        <f t="shared" si="45"/>
        <v>56606.956087500002</v>
      </c>
      <c r="AP17">
        <f t="shared" si="45"/>
        <v>56606.956087500002</v>
      </c>
      <c r="AQ17">
        <f t="shared" si="45"/>
        <v>56606.956087500002</v>
      </c>
      <c r="AR17">
        <f t="shared" si="45"/>
        <v>56606.956087500002</v>
      </c>
      <c r="AS17">
        <f t="shared" si="45"/>
        <v>56606.956087500002</v>
      </c>
      <c r="AT17">
        <f t="shared" si="45"/>
        <v>56606.956087500002</v>
      </c>
      <c r="AU17">
        <f t="shared" si="45"/>
        <v>56606.956087500002</v>
      </c>
      <c r="AV17">
        <f t="shared" si="45"/>
        <v>56606.956087500002</v>
      </c>
      <c r="AW17">
        <f t="shared" si="45"/>
        <v>57229.632604462488</v>
      </c>
      <c r="AX17">
        <f t="shared" si="45"/>
        <v>57229.632604462488</v>
      </c>
      <c r="AY17">
        <f t="shared" si="45"/>
        <v>57229.632604462488</v>
      </c>
      <c r="AZ17">
        <f t="shared" si="45"/>
        <v>57229.632604462488</v>
      </c>
      <c r="BA17">
        <f t="shared" si="45"/>
        <v>57229.632604462488</v>
      </c>
      <c r="BB17">
        <f t="shared" si="45"/>
        <v>57229.632604462488</v>
      </c>
      <c r="BC17">
        <f t="shared" si="45"/>
        <v>57229.632604462488</v>
      </c>
      <c r="BD17">
        <f t="shared" si="45"/>
        <v>57229.632604462488</v>
      </c>
      <c r="BE17">
        <f t="shared" si="45"/>
        <v>57229.632604462488</v>
      </c>
      <c r="BF17">
        <f t="shared" si="45"/>
        <v>57229.632604462488</v>
      </c>
      <c r="BG17">
        <f t="shared" si="45"/>
        <v>57229.632604462488</v>
      </c>
      <c r="BH17">
        <f t="shared" si="45"/>
        <v>57229.632604462488</v>
      </c>
      <c r="BI17">
        <f t="shared" si="45"/>
        <v>58660.373419574047</v>
      </c>
      <c r="BJ17">
        <f t="shared" si="45"/>
        <v>58660.373419574047</v>
      </c>
      <c r="BK17">
        <f t="shared" si="45"/>
        <v>58660.373419574047</v>
      </c>
      <c r="BL17">
        <f t="shared" si="45"/>
        <v>58660.373419574047</v>
      </c>
      <c r="BM17">
        <f t="shared" si="45"/>
        <v>58660.373419574047</v>
      </c>
      <c r="BN17">
        <f t="shared" si="45"/>
        <v>58660.373419574047</v>
      </c>
    </row>
    <row r="18" spans="2:66" s="35" customFormat="1">
      <c r="B18" s="36" t="s">
        <v>16</v>
      </c>
      <c r="F18" s="35" t="s">
        <v>29</v>
      </c>
      <c r="G18" s="35">
        <f>G16-G17</f>
        <v>26250</v>
      </c>
      <c r="H18" s="35">
        <f t="shared" ref="H18:AB18" si="46">H16-H17</f>
        <v>26250</v>
      </c>
      <c r="I18" s="35">
        <f t="shared" si="46"/>
        <v>26250</v>
      </c>
      <c r="J18" s="35">
        <f t="shared" si="46"/>
        <v>26250</v>
      </c>
      <c r="K18" s="35">
        <f t="shared" si="46"/>
        <v>26250</v>
      </c>
      <c r="L18" s="35">
        <f t="shared" si="46"/>
        <v>26250</v>
      </c>
      <c r="M18" s="35">
        <f t="shared" si="46"/>
        <v>27562.5</v>
      </c>
      <c r="N18" s="35">
        <f t="shared" si="46"/>
        <v>27562.5</v>
      </c>
      <c r="O18" s="35">
        <f t="shared" si="46"/>
        <v>27562.5</v>
      </c>
      <c r="P18" s="35">
        <f t="shared" si="46"/>
        <v>27562.5</v>
      </c>
      <c r="Q18" s="35">
        <f t="shared" si="46"/>
        <v>27562.5</v>
      </c>
      <c r="R18" s="35">
        <f t="shared" si="46"/>
        <v>27562.5</v>
      </c>
      <c r="S18" s="35">
        <f t="shared" si="46"/>
        <v>27562.5</v>
      </c>
      <c r="T18" s="35">
        <f t="shared" si="46"/>
        <v>27562.5</v>
      </c>
      <c r="U18" s="35">
        <f t="shared" si="46"/>
        <v>27562.5</v>
      </c>
      <c r="V18" s="35">
        <f t="shared" si="46"/>
        <v>27562.5</v>
      </c>
      <c r="W18" s="35">
        <f t="shared" si="46"/>
        <v>27562.5</v>
      </c>
      <c r="X18" s="35">
        <f t="shared" si="46"/>
        <v>27562.5</v>
      </c>
      <c r="Y18" s="35">
        <f t="shared" si="46"/>
        <v>28720.125</v>
      </c>
      <c r="Z18" s="35">
        <f t="shared" si="46"/>
        <v>28720.125</v>
      </c>
      <c r="AA18" s="35">
        <f t="shared" si="46"/>
        <v>28720.125</v>
      </c>
      <c r="AB18" s="35">
        <f t="shared" si="46"/>
        <v>28720.125</v>
      </c>
      <c r="AC18" s="35">
        <f t="shared" ref="AC18" si="47">AC16-AC17</f>
        <v>28720.125</v>
      </c>
      <c r="AD18" s="35">
        <f t="shared" ref="AD18" si="48">AD16-AD17</f>
        <v>28720.125</v>
      </c>
      <c r="AE18" s="35">
        <f t="shared" ref="AE18" si="49">AE16-AE17</f>
        <v>28720.125</v>
      </c>
      <c r="AF18" s="35">
        <f t="shared" ref="AF18" si="50">AF16-AF17</f>
        <v>28720.125</v>
      </c>
      <c r="AG18" s="35">
        <f t="shared" ref="AG18" si="51">AG16-AG17</f>
        <v>28720.125</v>
      </c>
      <c r="AH18" s="35">
        <f t="shared" ref="AH18" si="52">AH16-AH17</f>
        <v>28720.125</v>
      </c>
      <c r="AI18" s="35">
        <f t="shared" ref="AI18" si="53">AI16-AI17</f>
        <v>28720.125</v>
      </c>
      <c r="AJ18" s="35">
        <f t="shared" ref="AJ18" si="54">AJ16-AJ17</f>
        <v>28720.125</v>
      </c>
      <c r="AK18" s="35">
        <f t="shared" ref="AK18" si="55">AK16-AK17</f>
        <v>30480.6686625</v>
      </c>
      <c r="AL18" s="35">
        <f t="shared" ref="AL18" si="56">AL16-AL17</f>
        <v>30480.6686625</v>
      </c>
      <c r="AM18" s="35">
        <f t="shared" ref="AM18" si="57">AM16-AM17</f>
        <v>30480.6686625</v>
      </c>
      <c r="AN18" s="35">
        <f t="shared" ref="AN18" si="58">AN16-AN17</f>
        <v>30480.6686625</v>
      </c>
      <c r="AO18" s="35">
        <f t="shared" ref="AO18" si="59">AO16-AO17</f>
        <v>30480.6686625</v>
      </c>
      <c r="AP18" s="35">
        <f t="shared" ref="AP18" si="60">AP16-AP17</f>
        <v>30480.6686625</v>
      </c>
      <c r="AQ18" s="35">
        <f t="shared" ref="AQ18" si="61">AQ16-AQ17</f>
        <v>30480.6686625</v>
      </c>
      <c r="AR18" s="35">
        <f t="shared" ref="AR18" si="62">AR16-AR17</f>
        <v>30480.6686625</v>
      </c>
      <c r="AS18" s="35">
        <f t="shared" ref="AS18" si="63">AS16-AS17</f>
        <v>30480.6686625</v>
      </c>
      <c r="AT18" s="35">
        <f t="shared" ref="AT18" si="64">AT16-AT17</f>
        <v>30480.6686625</v>
      </c>
      <c r="AU18" s="35">
        <f t="shared" ref="AU18" si="65">AU16-AU17</f>
        <v>30480.6686625</v>
      </c>
      <c r="AV18" s="35">
        <f t="shared" ref="AV18:AW18" si="66">AV16-AV17</f>
        <v>30480.6686625</v>
      </c>
      <c r="AW18" s="35">
        <f t="shared" si="66"/>
        <v>30815.956017787496</v>
      </c>
      <c r="AX18" s="35">
        <f t="shared" ref="AX18" si="67">AX16-AX17</f>
        <v>30815.956017787496</v>
      </c>
      <c r="AY18" s="35">
        <f t="shared" ref="AY18" si="68">AY16-AY17</f>
        <v>30815.956017787496</v>
      </c>
      <c r="AZ18" s="35">
        <f t="shared" ref="AZ18" si="69">AZ16-AZ17</f>
        <v>30815.956017787496</v>
      </c>
      <c r="BA18" s="35">
        <f t="shared" ref="BA18" si="70">BA16-BA17</f>
        <v>30815.956017787496</v>
      </c>
      <c r="BB18" s="35">
        <f t="shared" ref="BB18" si="71">BB16-BB17</f>
        <v>30815.956017787496</v>
      </c>
      <c r="BC18" s="35">
        <f t="shared" ref="BC18" si="72">BC16-BC17</f>
        <v>30815.956017787496</v>
      </c>
      <c r="BD18" s="35">
        <f t="shared" ref="BD18" si="73">BD16-BD17</f>
        <v>30815.956017787496</v>
      </c>
      <c r="BE18" s="35">
        <f t="shared" ref="BE18" si="74">BE16-BE17</f>
        <v>30815.956017787496</v>
      </c>
      <c r="BF18" s="35">
        <f t="shared" ref="BF18" si="75">BF16-BF17</f>
        <v>30815.956017787496</v>
      </c>
      <c r="BG18" s="35">
        <f t="shared" ref="BG18" si="76">BG16-BG17</f>
        <v>30815.956017787496</v>
      </c>
      <c r="BH18" s="35">
        <f t="shared" ref="BH18" si="77">BH16-BH17</f>
        <v>30815.956017787496</v>
      </c>
      <c r="BI18" s="35">
        <f t="shared" ref="BI18" si="78">BI16-BI17</f>
        <v>31586.35491823218</v>
      </c>
      <c r="BJ18" s="35">
        <f t="shared" ref="BJ18" si="79">BJ16-BJ17</f>
        <v>31586.35491823218</v>
      </c>
      <c r="BK18" s="35">
        <f t="shared" ref="BK18" si="80">BK16-BK17</f>
        <v>31586.35491823218</v>
      </c>
      <c r="BL18" s="35">
        <f t="shared" ref="BL18" si="81">BL16-BL17</f>
        <v>31586.35491823218</v>
      </c>
      <c r="BM18" s="35">
        <f t="shared" ref="BM18" si="82">BM16-BM17</f>
        <v>31586.35491823218</v>
      </c>
      <c r="BN18" s="35">
        <f t="shared" ref="BN18" si="83">BN16-BN17</f>
        <v>31586.35491823218</v>
      </c>
    </row>
    <row r="19" spans="2:66">
      <c r="C19" t="s">
        <v>10</v>
      </c>
      <c r="D19" s="13" t="s">
        <v>20</v>
      </c>
      <c r="F19" s="2">
        <v>75000</v>
      </c>
    </row>
    <row r="20" spans="2:66">
      <c r="C20" t="s">
        <v>17</v>
      </c>
      <c r="D20" s="13" t="s">
        <v>21</v>
      </c>
      <c r="E20" s="35">
        <f>SUM(G20:BN20)</f>
        <v>799105.33209600032</v>
      </c>
      <c r="F20" s="9">
        <v>0.65</v>
      </c>
      <c r="G20">
        <f>$F$21*G12</f>
        <v>12000</v>
      </c>
      <c r="H20">
        <f t="shared" ref="H20:BS20" si="84">$F$21*H12</f>
        <v>12000</v>
      </c>
      <c r="I20">
        <f t="shared" si="84"/>
        <v>12000</v>
      </c>
      <c r="J20">
        <f t="shared" si="84"/>
        <v>12360</v>
      </c>
      <c r="K20">
        <f t="shared" si="84"/>
        <v>12360</v>
      </c>
      <c r="L20">
        <f t="shared" si="84"/>
        <v>12360</v>
      </c>
      <c r="M20">
        <f t="shared" si="84"/>
        <v>12360</v>
      </c>
      <c r="N20">
        <f t="shared" si="84"/>
        <v>12360</v>
      </c>
      <c r="O20">
        <f t="shared" si="84"/>
        <v>12360</v>
      </c>
      <c r="P20">
        <f t="shared" si="84"/>
        <v>12360</v>
      </c>
      <c r="Q20">
        <f t="shared" si="84"/>
        <v>12360</v>
      </c>
      <c r="R20">
        <f t="shared" si="84"/>
        <v>12360</v>
      </c>
      <c r="S20">
        <f t="shared" si="84"/>
        <v>12360</v>
      </c>
      <c r="T20">
        <f t="shared" si="84"/>
        <v>12360</v>
      </c>
      <c r="U20">
        <f t="shared" si="84"/>
        <v>12360</v>
      </c>
      <c r="V20">
        <f t="shared" si="84"/>
        <v>12854.400000000001</v>
      </c>
      <c r="W20">
        <f t="shared" si="84"/>
        <v>12854.400000000001</v>
      </c>
      <c r="X20">
        <f t="shared" si="84"/>
        <v>12854.400000000001</v>
      </c>
      <c r="Y20">
        <f t="shared" si="84"/>
        <v>12854.400000000001</v>
      </c>
      <c r="Z20">
        <f t="shared" si="84"/>
        <v>12854.400000000001</v>
      </c>
      <c r="AA20">
        <f t="shared" si="84"/>
        <v>12854.400000000001</v>
      </c>
      <c r="AB20">
        <f t="shared" si="84"/>
        <v>12854.400000000001</v>
      </c>
      <c r="AC20">
        <f t="shared" si="84"/>
        <v>12854.400000000001</v>
      </c>
      <c r="AD20">
        <f t="shared" si="84"/>
        <v>12854.400000000001</v>
      </c>
      <c r="AE20">
        <f t="shared" si="84"/>
        <v>12854.400000000001</v>
      </c>
      <c r="AF20">
        <f t="shared" si="84"/>
        <v>12854.400000000001</v>
      </c>
      <c r="AG20">
        <f t="shared" si="84"/>
        <v>12854.400000000001</v>
      </c>
      <c r="AH20">
        <f t="shared" si="84"/>
        <v>13497.120000000003</v>
      </c>
      <c r="AI20">
        <f t="shared" si="84"/>
        <v>13497.120000000003</v>
      </c>
      <c r="AJ20">
        <f t="shared" si="84"/>
        <v>13497.120000000003</v>
      </c>
      <c r="AK20">
        <f t="shared" si="84"/>
        <v>13497.120000000003</v>
      </c>
      <c r="AL20">
        <f t="shared" si="84"/>
        <v>13497.120000000003</v>
      </c>
      <c r="AM20">
        <f t="shared" si="84"/>
        <v>13497.120000000003</v>
      </c>
      <c r="AN20">
        <f t="shared" si="84"/>
        <v>13497.120000000003</v>
      </c>
      <c r="AO20">
        <f t="shared" si="84"/>
        <v>13497.120000000003</v>
      </c>
      <c r="AP20">
        <f t="shared" si="84"/>
        <v>13497.120000000003</v>
      </c>
      <c r="AQ20">
        <f t="shared" si="84"/>
        <v>13497.120000000003</v>
      </c>
      <c r="AR20">
        <f t="shared" si="84"/>
        <v>13497.120000000003</v>
      </c>
      <c r="AS20">
        <f t="shared" si="84"/>
        <v>13497.120000000003</v>
      </c>
      <c r="AT20">
        <f t="shared" si="84"/>
        <v>14037.004800000004</v>
      </c>
      <c r="AU20">
        <f t="shared" si="84"/>
        <v>14037.004800000004</v>
      </c>
      <c r="AV20">
        <f t="shared" si="84"/>
        <v>14037.004800000004</v>
      </c>
      <c r="AW20">
        <f t="shared" si="84"/>
        <v>14037.004800000004</v>
      </c>
      <c r="AX20">
        <f t="shared" si="84"/>
        <v>14037.004800000004</v>
      </c>
      <c r="AY20">
        <f t="shared" si="84"/>
        <v>14037.004800000004</v>
      </c>
      <c r="AZ20">
        <f t="shared" si="84"/>
        <v>14037.004800000004</v>
      </c>
      <c r="BA20">
        <f t="shared" si="84"/>
        <v>14037.004800000004</v>
      </c>
      <c r="BB20">
        <f t="shared" si="84"/>
        <v>14037.004800000004</v>
      </c>
      <c r="BC20">
        <f t="shared" si="84"/>
        <v>14037.004800000004</v>
      </c>
      <c r="BD20">
        <f t="shared" si="84"/>
        <v>14037.004800000004</v>
      </c>
      <c r="BE20">
        <f t="shared" si="84"/>
        <v>14037.004800000004</v>
      </c>
      <c r="BF20">
        <f t="shared" si="84"/>
        <v>14458.114944000004</v>
      </c>
      <c r="BG20">
        <f t="shared" si="84"/>
        <v>14458.114944000004</v>
      </c>
      <c r="BH20">
        <f t="shared" si="84"/>
        <v>14458.114944000004</v>
      </c>
      <c r="BI20">
        <f t="shared" si="84"/>
        <v>14458.114944000004</v>
      </c>
      <c r="BJ20">
        <f t="shared" si="84"/>
        <v>14458.114944000004</v>
      </c>
      <c r="BK20">
        <f t="shared" si="84"/>
        <v>14458.114944000004</v>
      </c>
      <c r="BL20">
        <f t="shared" si="84"/>
        <v>14458.114944000004</v>
      </c>
      <c r="BM20">
        <f t="shared" si="84"/>
        <v>14458.114944000004</v>
      </c>
      <c r="BN20">
        <f t="shared" si="84"/>
        <v>14458.114944000004</v>
      </c>
    </row>
    <row r="21" spans="2:66">
      <c r="C21" t="s">
        <v>15</v>
      </c>
      <c r="D21" s="13" t="s">
        <v>20</v>
      </c>
      <c r="F21" s="2">
        <v>12000</v>
      </c>
    </row>
    <row r="22" spans="2:66">
      <c r="F22" t="s">
        <v>30</v>
      </c>
      <c r="G22" s="35">
        <f>G18-G20</f>
        <v>14250</v>
      </c>
      <c r="H22" s="35">
        <f t="shared" ref="H22:AH22" si="85">H18-H20</f>
        <v>14250</v>
      </c>
      <c r="I22" s="35">
        <f t="shared" si="85"/>
        <v>14250</v>
      </c>
      <c r="J22" s="35">
        <f t="shared" si="85"/>
        <v>13890</v>
      </c>
      <c r="K22" s="35">
        <f t="shared" si="85"/>
        <v>13890</v>
      </c>
      <c r="L22" s="35">
        <f t="shared" si="85"/>
        <v>13890</v>
      </c>
      <c r="M22" s="35">
        <f t="shared" si="85"/>
        <v>15202.5</v>
      </c>
      <c r="N22" s="35">
        <f t="shared" si="85"/>
        <v>15202.5</v>
      </c>
      <c r="O22" s="35">
        <f t="shared" si="85"/>
        <v>15202.5</v>
      </c>
      <c r="P22" s="35">
        <f t="shared" si="85"/>
        <v>15202.5</v>
      </c>
      <c r="Q22" s="35">
        <f t="shared" si="85"/>
        <v>15202.5</v>
      </c>
      <c r="R22" s="35">
        <f t="shared" si="85"/>
        <v>15202.5</v>
      </c>
      <c r="S22" s="35">
        <f t="shared" si="85"/>
        <v>15202.5</v>
      </c>
      <c r="T22" s="35">
        <f t="shared" si="85"/>
        <v>15202.5</v>
      </c>
      <c r="U22" s="35">
        <f t="shared" si="85"/>
        <v>15202.5</v>
      </c>
      <c r="V22" s="35">
        <f t="shared" si="85"/>
        <v>14708.099999999999</v>
      </c>
      <c r="W22" s="35">
        <f t="shared" si="85"/>
        <v>14708.099999999999</v>
      </c>
      <c r="X22" s="35">
        <f t="shared" si="85"/>
        <v>14708.099999999999</v>
      </c>
      <c r="Y22" s="35">
        <f t="shared" si="85"/>
        <v>15865.724999999999</v>
      </c>
      <c r="Z22" s="35">
        <f t="shared" si="85"/>
        <v>15865.724999999999</v>
      </c>
      <c r="AA22" s="35">
        <f t="shared" si="85"/>
        <v>15865.724999999999</v>
      </c>
      <c r="AB22" s="35">
        <f t="shared" si="85"/>
        <v>15865.724999999999</v>
      </c>
      <c r="AC22" s="35">
        <f t="shared" si="85"/>
        <v>15865.724999999999</v>
      </c>
      <c r="AD22" s="35">
        <f t="shared" si="85"/>
        <v>15865.724999999999</v>
      </c>
      <c r="AE22" s="35">
        <f t="shared" si="85"/>
        <v>15865.724999999999</v>
      </c>
      <c r="AF22" s="35">
        <f t="shared" si="85"/>
        <v>15865.724999999999</v>
      </c>
      <c r="AG22" s="35">
        <f t="shared" si="85"/>
        <v>15865.724999999999</v>
      </c>
      <c r="AH22" s="35">
        <f t="shared" si="85"/>
        <v>15223.004999999997</v>
      </c>
    </row>
    <row r="24" spans="2:66">
      <c r="B24" s="6" t="s">
        <v>9</v>
      </c>
    </row>
    <row r="25" spans="2:66">
      <c r="C25" s="10" t="s">
        <v>10</v>
      </c>
      <c r="E25" s="11" t="s">
        <v>11</v>
      </c>
      <c r="F25" s="11" t="s">
        <v>12</v>
      </c>
    </row>
    <row r="26" spans="2:66">
      <c r="E26" s="8">
        <f>YEAR(F14)</f>
        <v>2018</v>
      </c>
      <c r="F26" s="9">
        <v>0.05</v>
      </c>
    </row>
    <row r="27" spans="2:66">
      <c r="E27">
        <f t="shared" ref="E27:E30" si="86">E26+1</f>
        <v>2019</v>
      </c>
      <c r="F27" s="9">
        <v>4.2000000000000003E-2</v>
      </c>
    </row>
    <row r="28" spans="2:66">
      <c r="E28">
        <f t="shared" si="86"/>
        <v>2020</v>
      </c>
      <c r="F28" s="9">
        <v>6.13E-2</v>
      </c>
    </row>
    <row r="29" spans="2:66">
      <c r="E29">
        <f t="shared" si="86"/>
        <v>2021</v>
      </c>
      <c r="F29" s="9">
        <v>1.0999999999999999E-2</v>
      </c>
    </row>
    <row r="30" spans="2:66">
      <c r="E30">
        <f t="shared" si="86"/>
        <v>2022</v>
      </c>
      <c r="F30" s="9">
        <v>2.5000000000000001E-2</v>
      </c>
    </row>
    <row r="32" spans="2:66">
      <c r="C32" t="s">
        <v>13</v>
      </c>
      <c r="F32" s="2">
        <v>7</v>
      </c>
    </row>
    <row r="33" spans="1:7">
      <c r="C33" t="s">
        <v>14</v>
      </c>
    </row>
    <row r="35" spans="1:7">
      <c r="C35" s="10" t="s">
        <v>15</v>
      </c>
      <c r="E35" s="11" t="s">
        <v>11</v>
      </c>
      <c r="F35" s="11" t="s">
        <v>12</v>
      </c>
    </row>
    <row r="36" spans="1:7">
      <c r="E36">
        <f t="shared" ref="E36:E40" si="87">E26</f>
        <v>2018</v>
      </c>
      <c r="F36" s="9">
        <v>0.03</v>
      </c>
    </row>
    <row r="37" spans="1:7">
      <c r="E37">
        <f t="shared" si="87"/>
        <v>2019</v>
      </c>
      <c r="F37" s="9">
        <v>0.04</v>
      </c>
    </row>
    <row r="38" spans="1:7">
      <c r="E38">
        <f t="shared" si="87"/>
        <v>2020</v>
      </c>
      <c r="F38" s="9">
        <v>0.05</v>
      </c>
    </row>
    <row r="39" spans="1:7">
      <c r="E39">
        <f t="shared" si="87"/>
        <v>2021</v>
      </c>
      <c r="F39" s="9">
        <v>0.04</v>
      </c>
    </row>
    <row r="40" spans="1:7">
      <c r="E40">
        <f t="shared" si="87"/>
        <v>2022</v>
      </c>
      <c r="F40" s="9">
        <v>0.03</v>
      </c>
    </row>
    <row r="42" spans="1:7">
      <c r="C42" t="s">
        <v>13</v>
      </c>
      <c r="F42" s="2">
        <v>4</v>
      </c>
    </row>
    <row r="43" spans="1:7">
      <c r="C43" t="s">
        <v>14</v>
      </c>
    </row>
    <row r="45" spans="1:7">
      <c r="A45" s="1"/>
      <c r="B45" s="1" t="s">
        <v>19</v>
      </c>
      <c r="C45" s="1"/>
      <c r="D45" s="1"/>
      <c r="E45" s="1"/>
      <c r="F45" s="1"/>
      <c r="G45" s="1"/>
    </row>
  </sheetData>
  <dataValidations count="1">
    <dataValidation type="whole" allowBlank="1" showInputMessage="1" showErrorMessage="1" error="Please enter a whole number between 1 and 12" sqref="F32 F42" xr:uid="{00000000-0002-0000-0100-000000000000}">
      <formula1>1</formula1>
      <formula2>12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Introduction</vt:lpstr>
      <vt:lpstr>Inputs</vt:lpstr>
      <vt:lpstr>Model_Start_Date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Mayoh</dc:creator>
  <cp:lastModifiedBy>Vivian Nguyen</cp:lastModifiedBy>
  <cp:lastPrinted>2017-11-24T02:28:43Z</cp:lastPrinted>
  <dcterms:created xsi:type="dcterms:W3CDTF">2017-11-23T04:10:21Z</dcterms:created>
  <dcterms:modified xsi:type="dcterms:W3CDTF">2025-07-19T04:28:58Z</dcterms:modified>
</cp:coreProperties>
</file>