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advanced Excel Mq/"/>
    </mc:Choice>
  </mc:AlternateContent>
  <xr:revisionPtr revIDLastSave="0" documentId="13_ncr:1_{444E5E26-0FDB-134D-A15A-B6B8A2A27C13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Introduction" sheetId="6" r:id="rId1"/>
    <sheet name="Table_Data" sheetId="11" r:id="rId2"/>
    <sheet name="Raw_Data" sheetId="10" r:id="rId3"/>
    <sheet name="Raw" sheetId="12" state="veryHidden" r:id="rId4"/>
    <sheet name="Distances" sheetId="9" r:id="rId5"/>
  </sheets>
  <definedNames>
    <definedName name="Raw">Raw!$B$3:$F$54</definedName>
    <definedName name="Towns">Distances!$B$4:$B$8</definedName>
  </definedName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1" l="1"/>
  <c r="C26" i="11"/>
  <c r="C23" i="11"/>
  <c r="C24" i="11"/>
  <c r="C22" i="11"/>
  <c r="I21" i="9" a="1"/>
  <c r="I21" i="9"/>
  <c r="J10" i="9"/>
  <c r="K10" i="9"/>
  <c r="L10" i="9"/>
  <c r="M10" i="9"/>
  <c r="I10" i="9"/>
  <c r="J9" i="9"/>
  <c r="K9" i="9"/>
  <c r="L9" i="9"/>
  <c r="M9" i="9"/>
  <c r="I9" i="9"/>
  <c r="J8" i="9"/>
  <c r="K8" i="9"/>
  <c r="L8" i="9"/>
  <c r="M8" i="9"/>
  <c r="I8" i="9"/>
  <c r="J7" i="9"/>
  <c r="K7" i="9"/>
  <c r="L7" i="9"/>
  <c r="M7" i="9"/>
  <c r="I7" i="9"/>
  <c r="I6" i="9"/>
  <c r="K6" i="9"/>
  <c r="L6" i="9"/>
  <c r="M6" i="9"/>
  <c r="J6" i="9"/>
  <c r="H6" i="9" a="1"/>
  <c r="H6" i="9"/>
  <c r="I5" i="9" a="1"/>
  <c r="I5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C14" i="9" a="1"/>
  <c r="C14" i="9"/>
  <c r="C19" i="9"/>
  <c r="C15" i="9"/>
  <c r="C20" i="9"/>
  <c r="C16" i="9"/>
  <c r="C21" i="9"/>
  <c r="C17" i="9"/>
  <c r="C22" i="9"/>
  <c r="C18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P15" i="10" a="1"/>
  <c r="P15" i="10"/>
  <c r="B3" i="10" a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O4" i="10" a="1"/>
  <c r="O4" i="10"/>
  <c r="I4" i="10" a="1"/>
  <c r="I5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L5" i="10"/>
  <c r="M5" i="10" a="1"/>
  <c r="M5" i="10"/>
  <c r="I6" i="10"/>
  <c r="L6" i="10"/>
  <c r="M6" i="10" a="1"/>
  <c r="M6" i="10"/>
  <c r="I7" i="10"/>
  <c r="L7" i="10"/>
  <c r="M7" i="10" a="1"/>
  <c r="M7" i="10"/>
  <c r="I8" i="10"/>
  <c r="L8" i="10"/>
  <c r="M8" i="10" a="1"/>
  <c r="M8" i="10"/>
  <c r="I9" i="10"/>
  <c r="L9" i="10"/>
  <c r="M9" i="10" a="1"/>
  <c r="M9" i="10"/>
  <c r="I10" i="10"/>
  <c r="L10" i="10"/>
  <c r="M10" i="10" a="1"/>
  <c r="M10" i="10"/>
  <c r="I11" i="10"/>
  <c r="L11" i="10"/>
  <c r="M11" i="10" a="1"/>
  <c r="M11" i="10"/>
  <c r="I12" i="10"/>
  <c r="L12" i="10"/>
  <c r="M12" i="10" a="1"/>
  <c r="M12" i="10"/>
  <c r="I13" i="10"/>
  <c r="L13" i="10"/>
  <c r="M13" i="10" a="1"/>
  <c r="M13" i="10"/>
  <c r="I14" i="10"/>
  <c r="L14" i="10"/>
  <c r="M14" i="10" a="1"/>
  <c r="M14" i="10"/>
  <c r="I15" i="10"/>
  <c r="L15" i="10"/>
  <c r="M15" i="10" a="1"/>
  <c r="M15" i="10"/>
  <c r="I16" i="10"/>
  <c r="L16" i="10"/>
  <c r="M16" i="10" a="1"/>
  <c r="M16" i="10"/>
  <c r="I17" i="10"/>
  <c r="L17" i="10"/>
  <c r="M17" i="10" a="1"/>
  <c r="M17" i="10"/>
  <c r="I18" i="10"/>
  <c r="L18" i="10"/>
  <c r="M18" i="10" a="1"/>
  <c r="M18" i="10"/>
  <c r="I19" i="10"/>
  <c r="L19" i="10"/>
  <c r="M19" i="10" a="1"/>
  <c r="M19" i="10"/>
  <c r="I20" i="10"/>
  <c r="L20" i="10"/>
  <c r="M20" i="10" a="1"/>
  <c r="M20" i="10"/>
  <c r="I21" i="10"/>
  <c r="L21" i="10"/>
  <c r="M21" i="10" a="1"/>
  <c r="M21" i="10"/>
  <c r="I22" i="10"/>
  <c r="L22" i="10"/>
  <c r="M22" i="10" a="1"/>
  <c r="M22" i="10"/>
  <c r="I23" i="10"/>
  <c r="L23" i="10"/>
  <c r="M23" i="10" a="1"/>
  <c r="M23" i="10"/>
  <c r="I24" i="10"/>
  <c r="L24" i="10"/>
  <c r="M24" i="10" a="1"/>
  <c r="M24" i="10"/>
  <c r="I25" i="10"/>
  <c r="L25" i="10"/>
  <c r="M25" i="10" a="1"/>
  <c r="M25" i="10"/>
  <c r="I26" i="10"/>
  <c r="L26" i="10"/>
  <c r="M26" i="10" a="1"/>
  <c r="M26" i="10"/>
  <c r="I27" i="10"/>
  <c r="L27" i="10"/>
  <c r="M27" i="10" a="1"/>
  <c r="M27" i="10"/>
  <c r="I28" i="10"/>
  <c r="L28" i="10"/>
  <c r="M28" i="10" a="1"/>
  <c r="M28" i="10"/>
  <c r="I29" i="10"/>
  <c r="L29" i="10"/>
  <c r="M29" i="10" a="1"/>
  <c r="M29" i="10"/>
  <c r="I30" i="10"/>
  <c r="L30" i="10"/>
  <c r="M30" i="10" a="1"/>
  <c r="M30" i="10"/>
  <c r="I31" i="10"/>
  <c r="L31" i="10"/>
  <c r="M31" i="10" a="1"/>
  <c r="M31" i="10"/>
  <c r="I32" i="10"/>
  <c r="L32" i="10"/>
  <c r="M32" i="10" a="1"/>
  <c r="M32" i="10"/>
  <c r="I33" i="10"/>
  <c r="L33" i="10"/>
  <c r="M33" i="10" a="1"/>
  <c r="M33" i="10"/>
  <c r="I34" i="10"/>
  <c r="L34" i="10"/>
  <c r="M34" i="10" a="1"/>
  <c r="M34" i="10"/>
  <c r="I35" i="10"/>
  <c r="L35" i="10"/>
  <c r="M35" i="10" a="1"/>
  <c r="M35" i="10"/>
  <c r="I36" i="10"/>
  <c r="L36" i="10"/>
  <c r="M36" i="10" a="1"/>
  <c r="M36" i="10"/>
  <c r="I37" i="10"/>
  <c r="L37" i="10"/>
  <c r="M37" i="10" a="1"/>
  <c r="M37" i="10"/>
  <c r="I38" i="10"/>
  <c r="L38" i="10"/>
  <c r="M38" i="10" a="1"/>
  <c r="M38" i="10"/>
  <c r="I39" i="10"/>
  <c r="L39" i="10"/>
  <c r="M39" i="10" a="1"/>
  <c r="M39" i="10"/>
  <c r="I40" i="10"/>
  <c r="L40" i="10"/>
  <c r="M40" i="10" a="1"/>
  <c r="M40" i="10"/>
  <c r="I41" i="10"/>
  <c r="L41" i="10"/>
  <c r="M41" i="10" a="1"/>
  <c r="M41" i="10"/>
  <c r="I42" i="10"/>
  <c r="L42" i="10"/>
  <c r="M42" i="10" a="1"/>
  <c r="M42" i="10"/>
  <c r="I43" i="10"/>
  <c r="L43" i="10"/>
  <c r="M43" i="10" a="1"/>
  <c r="M43" i="10"/>
  <c r="I44" i="10"/>
  <c r="L44" i="10"/>
  <c r="M44" i="10" a="1"/>
  <c r="M44" i="10"/>
  <c r="I45" i="10"/>
  <c r="L45" i="10"/>
  <c r="M45" i="10" a="1"/>
  <c r="M45" i="10"/>
  <c r="I46" i="10"/>
  <c r="L46" i="10"/>
  <c r="M46" i="10" a="1"/>
  <c r="M46" i="10"/>
  <c r="I47" i="10"/>
  <c r="L47" i="10"/>
  <c r="M47" i="10" a="1"/>
  <c r="M47" i="10"/>
  <c r="I48" i="10"/>
  <c r="L48" i="10"/>
  <c r="M48" i="10" a="1"/>
  <c r="M48" i="10"/>
  <c r="I49" i="10"/>
  <c r="L49" i="10"/>
  <c r="M49" i="10" a="1"/>
  <c r="M49" i="10"/>
  <c r="I50" i="10"/>
  <c r="L50" i="10"/>
  <c r="M50" i="10" a="1"/>
  <c r="M50" i="10"/>
  <c r="I51" i="10"/>
  <c r="L51" i="10"/>
  <c r="M51" i="10" a="1"/>
  <c r="M51" i="10"/>
  <c r="I52" i="10"/>
  <c r="L52" i="10"/>
  <c r="M52" i="10" a="1"/>
  <c r="M52" i="10"/>
  <c r="I53" i="10"/>
  <c r="L53" i="10"/>
  <c r="M53" i="10" a="1"/>
  <c r="M53" i="10"/>
  <c r="I54" i="10"/>
  <c r="L54" i="10"/>
  <c r="M54" i="10" a="1"/>
  <c r="M54" i="10"/>
  <c r="I4" i="10"/>
  <c r="L4" i="10"/>
  <c r="M4" i="10" a="1"/>
  <c r="M4" i="10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6" i="11"/>
  <c r="H16" i="9" a="1"/>
  <c r="H16" i="9"/>
  <c r="H15" i="9" a="1"/>
  <c r="H15" i="9"/>
  <c r="I20" i="9"/>
  <c r="J20" i="9"/>
  <c r="K20" i="9"/>
  <c r="L20" i="9"/>
  <c r="M20" i="9"/>
  <c r="H21" i="9"/>
  <c r="H22" i="9"/>
  <c r="H23" i="9"/>
  <c r="H24" i="9"/>
  <c r="H25" i="9"/>
  <c r="D37" i="9"/>
  <c r="D36" i="9"/>
  <c r="D35" i="9"/>
  <c r="D34" i="9"/>
  <c r="D31" i="9"/>
  <c r="D30" i="9"/>
  <c r="D29" i="9"/>
  <c r="D25" i="9"/>
  <c r="D24" i="9"/>
  <c r="D19" i="9"/>
  <c r="H14" i="9" a="1"/>
  <c r="H14" i="9"/>
  <c r="L1" i="10"/>
  <c r="K1" i="10" a="1"/>
  <c r="K1" i="10"/>
  <c r="B3" i="10"/>
  <c r="C3" i="10"/>
  <c r="D3" i="10"/>
  <c r="E3" i="10"/>
  <c r="F3" i="10"/>
  <c r="C4" i="10"/>
  <c r="D4" i="10"/>
  <c r="E4" i="10"/>
  <c r="C5" i="10"/>
  <c r="D5" i="10"/>
  <c r="E5" i="10"/>
  <c r="C6" i="10"/>
  <c r="D6" i="10"/>
  <c r="E6" i="10"/>
  <c r="C7" i="10"/>
  <c r="D7" i="10"/>
  <c r="E7" i="10"/>
  <c r="C8" i="10"/>
  <c r="D8" i="10"/>
  <c r="E8" i="10"/>
  <c r="C9" i="10"/>
  <c r="D9" i="10"/>
  <c r="E9" i="10"/>
  <c r="C10" i="10"/>
  <c r="D10" i="10"/>
  <c r="E10" i="10"/>
  <c r="C11" i="10"/>
  <c r="D11" i="10"/>
  <c r="E11" i="10"/>
  <c r="C12" i="10"/>
  <c r="D12" i="10"/>
  <c r="E12" i="10"/>
  <c r="C13" i="10"/>
  <c r="D13" i="10"/>
  <c r="E13" i="10"/>
  <c r="C14" i="10"/>
  <c r="D14" i="10"/>
  <c r="E14" i="10"/>
  <c r="C15" i="10"/>
  <c r="D15" i="10"/>
  <c r="E15" i="10"/>
  <c r="C16" i="10"/>
  <c r="D16" i="10"/>
  <c r="E16" i="10"/>
  <c r="C17" i="10"/>
  <c r="D17" i="10"/>
  <c r="E17" i="10"/>
  <c r="C18" i="10"/>
  <c r="D18" i="10"/>
  <c r="E18" i="10"/>
  <c r="C19" i="10"/>
  <c r="D19" i="10"/>
  <c r="E19" i="10"/>
  <c r="C20" i="10"/>
  <c r="D20" i="10"/>
  <c r="E20" i="10"/>
  <c r="C21" i="10"/>
  <c r="D21" i="10"/>
  <c r="E21" i="10"/>
  <c r="C22" i="10"/>
  <c r="D22" i="10"/>
  <c r="E22" i="10"/>
  <c r="C23" i="10"/>
  <c r="D23" i="10"/>
  <c r="E23" i="10"/>
  <c r="C24" i="10"/>
  <c r="D24" i="10"/>
  <c r="E24" i="10"/>
  <c r="C25" i="10"/>
  <c r="D25" i="10"/>
  <c r="E25" i="10"/>
  <c r="C26" i="10"/>
  <c r="D26" i="10"/>
  <c r="E26" i="10"/>
  <c r="C27" i="10"/>
  <c r="D27" i="10"/>
  <c r="E27" i="10"/>
  <c r="C28" i="10"/>
  <c r="D28" i="10"/>
  <c r="E28" i="10"/>
  <c r="C29" i="10"/>
  <c r="D29" i="10"/>
  <c r="E29" i="10"/>
  <c r="C30" i="10"/>
  <c r="D30" i="10"/>
  <c r="E30" i="10"/>
  <c r="C31" i="10"/>
  <c r="D31" i="10"/>
  <c r="E31" i="10"/>
  <c r="C32" i="10"/>
  <c r="D32" i="10"/>
  <c r="E32" i="10"/>
  <c r="C33" i="10"/>
  <c r="D33" i="10"/>
  <c r="E33" i="10"/>
  <c r="C34" i="10"/>
  <c r="D34" i="10"/>
  <c r="E34" i="10"/>
  <c r="C35" i="10"/>
  <c r="D35" i="10"/>
  <c r="E35" i="10"/>
  <c r="C36" i="10"/>
  <c r="D36" i="10"/>
  <c r="E36" i="10"/>
  <c r="C37" i="10"/>
  <c r="D37" i="10"/>
  <c r="E37" i="10"/>
  <c r="C38" i="10"/>
  <c r="D38" i="10"/>
  <c r="E38" i="10"/>
  <c r="C39" i="10"/>
  <c r="D39" i="10"/>
  <c r="E39" i="10"/>
  <c r="C40" i="10"/>
  <c r="D40" i="10"/>
  <c r="E40" i="10"/>
  <c r="C41" i="10"/>
  <c r="D41" i="10"/>
  <c r="E41" i="10"/>
  <c r="C42" i="10"/>
  <c r="D42" i="10"/>
  <c r="E42" i="10"/>
  <c r="C43" i="10"/>
  <c r="D43" i="10"/>
  <c r="E43" i="10"/>
  <c r="C44" i="10"/>
  <c r="D44" i="10"/>
  <c r="E44" i="10"/>
  <c r="C45" i="10"/>
  <c r="D45" i="10"/>
  <c r="E45" i="10"/>
  <c r="C46" i="10"/>
  <c r="D46" i="10"/>
  <c r="E46" i="10"/>
  <c r="C47" i="10"/>
  <c r="D47" i="10"/>
  <c r="E47" i="10"/>
  <c r="C48" i="10"/>
  <c r="D48" i="10"/>
  <c r="E48" i="10"/>
  <c r="C49" i="10"/>
  <c r="D49" i="10"/>
  <c r="E49" i="10"/>
  <c r="C50" i="10"/>
  <c r="D50" i="10"/>
  <c r="E50" i="10"/>
  <c r="C51" i="10"/>
  <c r="D51" i="10"/>
  <c r="E51" i="10"/>
  <c r="C52" i="10"/>
  <c r="D52" i="10"/>
  <c r="E52" i="10"/>
  <c r="C53" i="10"/>
  <c r="D53" i="10"/>
  <c r="E53" i="10"/>
  <c r="C54" i="10"/>
  <c r="D54" i="10"/>
  <c r="E54" i="10"/>
  <c r="I4" i="12" a="1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M1" i="10" a="1"/>
  <c r="M1" i="10"/>
  <c r="P4" i="10" a="1"/>
  <c r="P4" i="10"/>
  <c r="P10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<sst xmlns="http://schemas.openxmlformats.org/spreadsheetml/2006/main" count="133" uniqueCount="112">
  <si>
    <t>Final Assessment</t>
  </si>
  <si>
    <t>Excel Skills for Business: Advanced</t>
  </si>
  <si>
    <t>Question 2</t>
  </si>
  <si>
    <t>Question 8</t>
  </si>
  <si>
    <t>Question 9</t>
  </si>
  <si>
    <t>Question 10</t>
  </si>
  <si>
    <t>Week 2: Advanced Formula Techniques</t>
  </si>
  <si>
    <t>Week 2: Learning Objectives</t>
  </si>
  <si>
    <t>Atlanta, Georgia</t>
  </si>
  <si>
    <t>Austin, Texas</t>
  </si>
  <si>
    <t>Baltimore, Maryland</t>
  </si>
  <si>
    <t>Birmingham, Alabama</t>
  </si>
  <si>
    <t>Boston, Massachusetts</t>
  </si>
  <si>
    <t>Buffalo, New York</t>
  </si>
  <si>
    <t>Charlotte, North Carolina</t>
  </si>
  <si>
    <t>Chicago, Illinois</t>
  </si>
  <si>
    <t>Cincinnati, Ohio</t>
  </si>
  <si>
    <t>Cleveland, Ohio</t>
  </si>
  <si>
    <t>Columbus, Ohio</t>
  </si>
  <si>
    <t>Dallas, Texas</t>
  </si>
  <si>
    <t>Denver, Colorado</t>
  </si>
  <si>
    <t>Detroit, Michigan</t>
  </si>
  <si>
    <t>Hartford, Connecticut</t>
  </si>
  <si>
    <t>Houston, Texas</t>
  </si>
  <si>
    <t>Indianapolis, Indiana</t>
  </si>
  <si>
    <t>Jacksonville, Florida</t>
  </si>
  <si>
    <t>Kansas City, Missouri</t>
  </si>
  <si>
    <t>Las Vegas, Nevada</t>
  </si>
  <si>
    <t>Los Angeles, California</t>
  </si>
  <si>
    <t>Louisville, Kentucky</t>
  </si>
  <si>
    <t>Memphis, Tennessee</t>
  </si>
  <si>
    <t>Miami, Florida</t>
  </si>
  <si>
    <t>Milwaukee, Wisconsin</t>
  </si>
  <si>
    <t>Minneapolis, Minnesota</t>
  </si>
  <si>
    <t>Nashville, Tennessee</t>
  </si>
  <si>
    <t>New Orleans, Louisiana</t>
  </si>
  <si>
    <t>New York, New York</t>
  </si>
  <si>
    <t>Oklahoma City, Oklahoma</t>
  </si>
  <si>
    <t>Orlando, Florida</t>
  </si>
  <si>
    <t>Philadelphia, Pennsylvania</t>
  </si>
  <si>
    <t>Phoenix, Arizona</t>
  </si>
  <si>
    <t>Pittsburgh, Pennsylvania</t>
  </si>
  <si>
    <t>Portland, Oregon</t>
  </si>
  <si>
    <t>Providence, Rhode Island</t>
  </si>
  <si>
    <t>Raleigh, North Carolina</t>
  </si>
  <si>
    <t>Richmond, Virginia</t>
  </si>
  <si>
    <t>Riverside, California</t>
  </si>
  <si>
    <t>Rochester, New York</t>
  </si>
  <si>
    <t>Sacramento, California</t>
  </si>
  <si>
    <t>Salt Lake City, Utah</t>
  </si>
  <si>
    <t>San Antonio, Texas</t>
  </si>
  <si>
    <t>San Diego, California</t>
  </si>
  <si>
    <t>San Francisco, California</t>
  </si>
  <si>
    <t>San Jose, California</t>
  </si>
  <si>
    <t>Seattle, Washington</t>
  </si>
  <si>
    <t>St. Louis, Missouri</t>
  </si>
  <si>
    <t>Tampa, Florida</t>
  </si>
  <si>
    <t>Virginia Beach, Virginia</t>
  </si>
  <si>
    <t>Washington, DC</t>
  </si>
  <si>
    <t>Location</t>
  </si>
  <si>
    <t>High_F</t>
  </si>
  <si>
    <t>Low_F</t>
  </si>
  <si>
    <t>High_C</t>
  </si>
  <si>
    <t>Low_C</t>
  </si>
  <si>
    <t>Celsius = (Fahrenheit - 32) * (5/9)</t>
  </si>
  <si>
    <t>Table Name:</t>
  </si>
  <si>
    <t>City_Subset</t>
  </si>
  <si>
    <t>High (C)</t>
  </si>
  <si>
    <t>Low (C)</t>
  </si>
  <si>
    <t>Count of number of cities</t>
  </si>
  <si>
    <t>Average High (F)</t>
  </si>
  <si>
    <t>Minimum Low (F)</t>
  </si>
  <si>
    <t>Product of the values above</t>
  </si>
  <si>
    <t>Check_Sum</t>
  </si>
  <si>
    <t>Helper Index</t>
  </si>
  <si>
    <t>Check Sums</t>
  </si>
  <si>
    <t>Question 3</t>
  </si>
  <si>
    <t>Rank of Location: COUNTIF(S)</t>
  </si>
  <si>
    <t>Final Location Sort Order (INDEX function)</t>
  </si>
  <si>
    <t>Location of Helper Index Value (MATCH function)</t>
  </si>
  <si>
    <t>Question 4</t>
  </si>
  <si>
    <t>Question 5</t>
  </si>
  <si>
    <t>5 largest High (F) temperatures</t>
  </si>
  <si>
    <t>Question 6</t>
  </si>
  <si>
    <t>Sum</t>
  </si>
  <si>
    <t>End of Section</t>
  </si>
  <si>
    <t>Section 1 - Tables</t>
  </si>
  <si>
    <t>Section 2 - Sorting and Arrays</t>
  </si>
  <si>
    <t>Question 7</t>
  </si>
  <si>
    <t>Sum of [High_C * Low_C] for all locations with a Low_C less than 10</t>
  </si>
  <si>
    <t>Section 3 - Transpose and more arrays</t>
  </si>
  <si>
    <t>Alphaville</t>
  </si>
  <si>
    <t>Betaburg</t>
  </si>
  <si>
    <t>Charliefield</t>
  </si>
  <si>
    <t>Deltatown</t>
  </si>
  <si>
    <t>Echopolis</t>
  </si>
  <si>
    <t>Distance table (miles)</t>
  </si>
  <si>
    <t>Distance</t>
  </si>
  <si>
    <t>These have the name "Towns"</t>
  </si>
  <si>
    <t>Towns</t>
  </si>
  <si>
    <t>Row / Column counter</t>
  </si>
  <si>
    <t>Town 1</t>
  </si>
  <si>
    <t>Town 2</t>
  </si>
  <si>
    <t>End of section</t>
  </si>
  <si>
    <t>Use the following functionalities in Excel for Advanced Formula Techniques:
Apply structured references in formulas
Explain the use of array formulas
Build formulas with array functions
Use array formulas in calculations</t>
  </si>
  <si>
    <t>Question 11</t>
  </si>
  <si>
    <t>38,</t>
  </si>
  <si>
    <t>B</t>
  </si>
  <si>
    <t>H</t>
  </si>
  <si>
    <t xml:space="preserve">6, </t>
  </si>
  <si>
    <t>C</t>
  </si>
  <si>
    <t>38,I5)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</si>
</sst>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_-* #,##0_-;\-* #,##0_-;_-* &quot;-&quot;_-;_-@_-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6" applyNumberFormat="0" applyAlignment="0" applyProtection="0"/>
    <xf numFmtId="0" fontId="13" fillId="2" borderId="6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94">
    <xf numFmtId="0" fontId="0" fillId="0" borderId="0" xfId="0"/>
    <xf numFmtId="0" fontId="0" fillId="33" borderId="0" xfId="0" applyFill="1" applyAlignment="1">
      <alignment horizontal="left" indent="3"/>
    </xf>
    <xf numFmtId="0" fontId="0" fillId="33" borderId="0" xfId="0" applyFill="1"/>
    <xf numFmtId="0" fontId="0" fillId="33" borderId="13" xfId="0" applyFill="1" applyBorder="1"/>
    <xf numFmtId="0" fontId="21" fillId="33" borderId="0" xfId="0" applyFont="1" applyFill="1" applyAlignment="1">
      <alignment horizontal="left" indent="3"/>
    </xf>
    <xf numFmtId="0" fontId="21" fillId="33" borderId="0" xfId="0" applyFont="1" applyFill="1"/>
    <xf numFmtId="0" fontId="22" fillId="33" borderId="14" xfId="0" applyFont="1" applyFill="1" applyBorder="1" applyAlignment="1">
      <alignment horizontal="left" indent="3"/>
    </xf>
    <xf numFmtId="0" fontId="22" fillId="33" borderId="14" xfId="0" applyFont="1" applyFill="1" applyBorder="1"/>
    <xf numFmtId="0" fontId="0" fillId="33" borderId="0" xfId="0" applyFill="1" applyAlignment="1">
      <alignment vertical="top" wrapText="1"/>
    </xf>
    <xf numFmtId="0" fontId="23" fillId="33" borderId="0" xfId="0" applyFont="1" applyFill="1"/>
    <xf numFmtId="0" fontId="15" fillId="34" borderId="0" xfId="0" applyFont="1" applyFill="1"/>
    <xf numFmtId="0" fontId="3" fillId="0" borderId="0" xfId="0" applyFont="1"/>
    <xf numFmtId="0" fontId="13" fillId="2" borderId="6" xfId="14"/>
    <xf numFmtId="0" fontId="0" fillId="0" borderId="0" xfId="0" applyAlignment="1">
      <alignment horizontal="center"/>
    </xf>
    <xf numFmtId="0" fontId="27" fillId="0" borderId="0" xfId="44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36" borderId="25" xfId="0" applyFill="1" applyBorder="1"/>
    <xf numFmtId="0" fontId="0" fillId="36" borderId="26" xfId="0" applyFill="1" applyBorder="1"/>
    <xf numFmtId="0" fontId="0" fillId="36" borderId="27" xfId="0" applyFill="1" applyBorder="1"/>
    <xf numFmtId="0" fontId="16" fillId="0" borderId="0" xfId="0" applyFont="1"/>
    <xf numFmtId="0" fontId="0" fillId="35" borderId="23" xfId="0" applyFill="1" applyBorder="1"/>
    <xf numFmtId="0" fontId="0" fillId="0" borderId="0" xfId="0" applyAlignment="1">
      <alignment horizontal="right"/>
    </xf>
    <xf numFmtId="166" fontId="0" fillId="35" borderId="23" xfId="0" applyNumberFormat="1" applyFill="1" applyBorder="1"/>
    <xf numFmtId="0" fontId="24" fillId="37" borderId="15" xfId="0" applyFont="1" applyFill="1" applyBorder="1"/>
    <xf numFmtId="0" fontId="24" fillId="37" borderId="0" xfId="0" applyFont="1" applyFill="1"/>
    <xf numFmtId="0" fontId="24" fillId="37" borderId="16" xfId="0" applyFont="1" applyFill="1" applyBorder="1"/>
    <xf numFmtId="0" fontId="24" fillId="37" borderId="17" xfId="0" applyFont="1" applyFill="1" applyBorder="1"/>
    <xf numFmtId="0" fontId="24" fillId="37" borderId="18" xfId="0" applyFont="1" applyFill="1" applyBorder="1"/>
    <xf numFmtId="0" fontId="24" fillId="37" borderId="19" xfId="0" applyFont="1" applyFill="1" applyBorder="1"/>
    <xf numFmtId="0" fontId="26" fillId="37" borderId="25" xfId="0" applyFont="1" applyFill="1" applyBorder="1"/>
    <xf numFmtId="0" fontId="26" fillId="37" borderId="26" xfId="0" applyFont="1" applyFill="1" applyBorder="1" applyAlignment="1">
      <alignment horizontal="right"/>
    </xf>
    <xf numFmtId="0" fontId="26" fillId="37" borderId="27" xfId="0" applyFont="1" applyFill="1" applyBorder="1" applyAlignment="1">
      <alignment horizontal="right"/>
    </xf>
    <xf numFmtId="0" fontId="0" fillId="35" borderId="23" xfId="0" applyFill="1" applyBorder="1" applyAlignment="1">
      <alignment horizontal="center"/>
    </xf>
    <xf numFmtId="0" fontId="13" fillId="2" borderId="6" xfId="14" applyAlignment="1">
      <alignment horizontal="center"/>
    </xf>
    <xf numFmtId="0" fontId="0" fillId="36" borderId="23" xfId="0" applyFill="1" applyBorder="1"/>
    <xf numFmtId="0" fontId="26" fillId="37" borderId="25" xfId="0" applyFont="1" applyFill="1" applyBorder="1" applyAlignment="1">
      <alignment wrapText="1"/>
    </xf>
    <xf numFmtId="0" fontId="26" fillId="37" borderId="26" xfId="0" applyFont="1" applyFill="1" applyBorder="1" applyAlignment="1">
      <alignment horizontal="right" wrapText="1"/>
    </xf>
    <xf numFmtId="0" fontId="26" fillId="37" borderId="27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35" borderId="23" xfId="0" applyFill="1" applyBorder="1" applyAlignment="1">
      <alignment horizontal="left"/>
    </xf>
    <xf numFmtId="0" fontId="28" fillId="34" borderId="0" xfId="44" applyFont="1" applyFill="1"/>
    <xf numFmtId="0" fontId="24" fillId="0" borderId="28" xfId="0" applyFont="1" applyBorder="1"/>
    <xf numFmtId="0" fontId="24" fillId="0" borderId="29" xfId="0" applyFont="1" applyBorder="1"/>
    <xf numFmtId="0" fontId="24" fillId="0" borderId="30" xfId="0" applyFont="1" applyBorder="1"/>
    <xf numFmtId="0" fontId="29" fillId="0" borderId="0" xfId="0" applyFont="1"/>
    <xf numFmtId="0" fontId="25" fillId="0" borderId="0" xfId="0" applyFont="1"/>
    <xf numFmtId="0" fontId="0" fillId="36" borderId="31" xfId="0" applyFill="1" applyBorder="1"/>
    <xf numFmtId="0" fontId="0" fillId="36" borderId="32" xfId="0" applyFill="1" applyBorder="1"/>
    <xf numFmtId="0" fontId="0" fillId="36" borderId="33" xfId="0" applyFill="1" applyBorder="1"/>
    <xf numFmtId="0" fontId="0" fillId="37" borderId="31" xfId="0" applyFill="1" applyBorder="1"/>
    <xf numFmtId="0" fontId="0" fillId="37" borderId="32" xfId="0" applyFill="1" applyBorder="1"/>
    <xf numFmtId="0" fontId="0" fillId="37" borderId="33" xfId="0" applyFill="1" applyBorder="1"/>
    <xf numFmtId="0" fontId="0" fillId="36" borderId="20" xfId="0" applyFill="1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5" borderId="34" xfId="0" applyFill="1" applyBorder="1" applyAlignment="1">
      <alignment horizontal="center"/>
    </xf>
    <xf numFmtId="0" fontId="0" fillId="35" borderId="35" xfId="0" applyFill="1" applyBorder="1" applyAlignment="1">
      <alignment horizontal="center"/>
    </xf>
    <xf numFmtId="0" fontId="0" fillId="35" borderId="36" xfId="0" applyFill="1" applyBorder="1" applyAlignment="1">
      <alignment horizontal="center"/>
    </xf>
    <xf numFmtId="0" fontId="0" fillId="35" borderId="37" xfId="0" applyFill="1" applyBorder="1" applyAlignment="1">
      <alignment horizontal="center"/>
    </xf>
    <xf numFmtId="0" fontId="0" fillId="35" borderId="40" xfId="0" applyFill="1" applyBorder="1" applyAlignment="1">
      <alignment horizontal="center"/>
    </xf>
    <xf numFmtId="0" fontId="0" fillId="38" borderId="24" xfId="0" applyFill="1" applyBorder="1" applyAlignment="1">
      <alignment horizontal="center"/>
    </xf>
    <xf numFmtId="0" fontId="0" fillId="38" borderId="38" xfId="0" applyFill="1" applyBorder="1" applyAlignment="1">
      <alignment horizontal="center"/>
    </xf>
    <xf numFmtId="0" fontId="0" fillId="38" borderId="23" xfId="0" applyFill="1" applyBorder="1" applyAlignment="1">
      <alignment horizontal="center"/>
    </xf>
    <xf numFmtId="0" fontId="0" fillId="38" borderId="39" xfId="0" applyFill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24" fillId="0" borderId="43" xfId="0" applyFont="1" applyBorder="1" applyAlignment="1">
      <alignment horizontal="center"/>
    </xf>
    <xf numFmtId="0" fontId="24" fillId="0" borderId="44" xfId="0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46" xfId="0" applyFont="1" applyBorder="1" applyAlignment="1">
      <alignment horizontal="center"/>
    </xf>
    <xf numFmtId="0" fontId="24" fillId="0" borderId="45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25" fillId="0" borderId="46" xfId="0" applyFont="1" applyBorder="1" applyAlignment="1">
      <alignment horizontal="center"/>
    </xf>
    <xf numFmtId="0" fontId="25" fillId="0" borderId="47" xfId="0" applyFont="1" applyBorder="1" applyAlignment="1">
      <alignment horizontal="center"/>
    </xf>
    <xf numFmtId="0" fontId="25" fillId="0" borderId="48" xfId="0" applyFont="1" applyBorder="1" applyAlignment="1">
      <alignment horizontal="center"/>
    </xf>
    <xf numFmtId="0" fontId="24" fillId="0" borderId="4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7" borderId="21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20" fontId="0" fillId="0" borderId="0" xfId="0" applyNumberFormat="1"/>
    <xf numFmtId="0" fontId="18" fillId="33" borderId="13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45">
    <cellStyle name="20% - Accent1" xfId="20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1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2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3" builtinId="29" customBuiltin="1"/>
    <cellStyle name="Accent2" xfId="4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11" builtinId="27" customBuiltin="1"/>
    <cellStyle name="Calculation" xfId="14" builtinId="22" customBuiltin="1"/>
    <cellStyle name="Check Cell" xfId="16" builtinId="23" customBuiltin="1"/>
    <cellStyle name="Comma [0]" xfId="42" builtinId="6" hidden="1"/>
    <cellStyle name="Currency [0]" xfId="43" builtinId="7" hidden="1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44" builtinId="8"/>
    <cellStyle name="Input" xfId="13" builtinId="20" customBuiltin="1"/>
    <cellStyle name="Linked Cell" xfId="15" builtinId="24" customBuiltin="1"/>
    <cellStyle name="Neutral" xfId="12" builtinId="28" customBuiltin="1"/>
    <cellStyle name="Normal" xfId="0" builtinId="0"/>
    <cellStyle name="Note" xfId="18" builtinId="10" customBuiltin="1"/>
    <cellStyle name="Output" xfId="1" builtinId="21" customBuiltin="1"/>
    <cellStyle name="Title" xfId="5" builtinId="15" customBuiltin="1"/>
    <cellStyle name="Total" xfId="2" builtinId="25" customBuiltin="1"/>
    <cellStyle name="Warning Text" xfId="17" builtinId="11" customBuiltin="1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BF7FF"/>
      <color rgb="FFCCFFCC"/>
      <color rgb="FFFFFFCC"/>
      <color rgb="FF0000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y_Subset" displayName="City_Subset" ref="B5:D19" totalsRowShown="0">
  <autoFilter ref="B5:D19" xr:uid="{00000000-0009-0000-0100-000001000000}"/>
  <tableColumns count="3">
    <tableColumn id="1" xr3:uid="{00000000-0010-0000-0000-000001000000}" name="Location"/>
    <tableColumn id="2" xr3:uid="{00000000-0010-0000-0000-000002000000}" name="High_F" dataDxfId="1"/>
    <tableColumn id="3" xr3:uid="{00000000-0010-0000-0000-000003000000}" name="Low_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"/>
  <sheetViews>
    <sheetView workbookViewId="0">
      <selection activeCell="I6" sqref="I6:O6"/>
    </sheetView>
  </sheetViews>
  <sheetFormatPr baseColWidth="10" defaultColWidth="9.83203125" defaultRowHeight="15" x14ac:dyDescent="0.2"/>
  <cols>
    <col min="1" max="1" width="9.83203125" style="1"/>
    <col min="2" max="2" width="12" style="2" customWidth="1"/>
    <col min="3" max="3" width="15.83203125" style="2" customWidth="1"/>
    <col min="4" max="4" width="12.6640625" style="2" customWidth="1"/>
    <col min="5" max="6" width="9.83203125" style="2"/>
    <col min="7" max="7" width="11" style="2" customWidth="1"/>
    <col min="8" max="8" width="19.1640625" style="2" customWidth="1"/>
    <col min="9" max="9" width="3.6640625" style="2" customWidth="1"/>
    <col min="10" max="10" width="3.83203125" style="2" customWidth="1"/>
    <col min="11" max="12" width="12.33203125" style="2" customWidth="1"/>
    <col min="13" max="13" width="47.5" style="2" customWidth="1"/>
    <col min="14" max="14" width="4.5" style="2" customWidth="1"/>
    <col min="15" max="15" width="4" style="2" customWidth="1"/>
    <col min="16" max="16" width="12.33203125" style="2" customWidth="1"/>
    <col min="17" max="16384" width="9.83203125" style="2"/>
  </cols>
  <sheetData>
    <row r="1" spans="1:16" x14ac:dyDescent="0.2">
      <c r="H1" s="3"/>
    </row>
    <row r="2" spans="1:16" ht="35" x14ac:dyDescent="0.35">
      <c r="H2" s="86" t="s">
        <v>1</v>
      </c>
      <c r="I2" s="87"/>
      <c r="J2" s="87"/>
      <c r="K2" s="87"/>
      <c r="L2" s="87"/>
      <c r="M2" s="87"/>
      <c r="N2" s="87"/>
      <c r="O2" s="87"/>
      <c r="P2" s="87"/>
    </row>
    <row r="3" spans="1:16" x14ac:dyDescent="0.2">
      <c r="H3" s="3"/>
    </row>
    <row r="4" spans="1:16" ht="30" x14ac:dyDescent="0.3">
      <c r="H4" s="88" t="s">
        <v>6</v>
      </c>
      <c r="I4" s="89"/>
      <c r="J4" s="89"/>
      <c r="K4" s="89"/>
      <c r="L4" s="89"/>
      <c r="M4" s="89"/>
      <c r="N4" s="89"/>
      <c r="O4" s="89"/>
      <c r="P4" s="89"/>
    </row>
    <row r="5" spans="1:16" ht="16" thickBot="1" x14ac:dyDescent="0.25">
      <c r="H5" s="3"/>
    </row>
    <row r="6" spans="1:16" ht="32" thickBot="1" x14ac:dyDescent="0.4">
      <c r="H6" s="3"/>
      <c r="I6" s="90" t="s">
        <v>0</v>
      </c>
      <c r="J6" s="91"/>
      <c r="K6" s="91"/>
      <c r="L6" s="91"/>
      <c r="M6" s="91"/>
      <c r="N6" s="91"/>
      <c r="O6" s="92"/>
    </row>
    <row r="10" spans="1:16" ht="19" thickBot="1" x14ac:dyDescent="0.25">
      <c r="A10" s="4" t="s">
        <v>7</v>
      </c>
      <c r="B10" s="5"/>
      <c r="C10" s="5"/>
      <c r="D10" s="5"/>
      <c r="E10" s="5"/>
      <c r="F10" s="5"/>
      <c r="G10" s="5"/>
    </row>
    <row r="11" spans="1:16" ht="19" thickTop="1" x14ac:dyDescent="0.2">
      <c r="A11" s="6"/>
      <c r="B11" s="7"/>
      <c r="C11" s="7"/>
      <c r="D11" s="7"/>
      <c r="E11" s="7"/>
      <c r="F11" s="7"/>
      <c r="G11" s="7"/>
      <c r="H11" s="7"/>
    </row>
    <row r="12" spans="1:16" ht="89.5" customHeight="1" x14ac:dyDescent="0.2">
      <c r="B12" s="93" t="s">
        <v>104</v>
      </c>
      <c r="C12" s="93"/>
      <c r="D12" s="93"/>
      <c r="E12" s="93"/>
      <c r="F12" s="93"/>
      <c r="G12" s="93"/>
      <c r="H12" s="93"/>
      <c r="I12" s="8"/>
      <c r="J12" s="8"/>
      <c r="K12" s="8"/>
      <c r="L12" s="8"/>
      <c r="M12" s="8"/>
      <c r="N12" s="8"/>
      <c r="O12" s="8"/>
    </row>
    <row r="13" spans="1:16" ht="9" customHeight="1" x14ac:dyDescent="0.2"/>
    <row r="14" spans="1:16" ht="5.5" customHeight="1" x14ac:dyDescent="0.2"/>
    <row r="15" spans="1:1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8"/>
  <sheetViews>
    <sheetView showGridLines="0" topLeftCell="A10" zoomScale="159" workbookViewId="0">
      <selection activeCell="G22" sqref="G22"/>
    </sheetView>
  </sheetViews>
  <sheetFormatPr baseColWidth="10" defaultColWidth="9.1640625" defaultRowHeight="15" x14ac:dyDescent="0.2"/>
  <cols>
    <col min="1" max="1" width="5.33203125" customWidth="1"/>
    <col min="2" max="2" width="35.1640625" customWidth="1"/>
    <col min="3" max="3" width="13.5" customWidth="1"/>
    <col min="4" max="4" width="14.5" customWidth="1"/>
  </cols>
  <sheetData>
    <row r="1" spans="1:10" x14ac:dyDescent="0.2">
      <c r="A1" s="10"/>
      <c r="B1" s="10" t="s">
        <v>86</v>
      </c>
      <c r="C1" s="43"/>
      <c r="D1" s="10"/>
      <c r="E1" s="10"/>
      <c r="F1" s="10"/>
      <c r="G1" s="10"/>
      <c r="H1" s="10"/>
      <c r="I1" s="10"/>
      <c r="J1" s="10"/>
    </row>
    <row r="2" spans="1:10" x14ac:dyDescent="0.2">
      <c r="F2" s="17" t="s">
        <v>64</v>
      </c>
      <c r="G2" s="18"/>
      <c r="H2" s="18"/>
      <c r="I2" s="19"/>
    </row>
    <row r="3" spans="1:10" x14ac:dyDescent="0.2">
      <c r="B3" s="11" t="s">
        <v>65</v>
      </c>
      <c r="C3" s="20" t="s">
        <v>66</v>
      </c>
    </row>
    <row r="5" spans="1:10" x14ac:dyDescent="0.2">
      <c r="B5" s="11" t="s">
        <v>59</v>
      </c>
      <c r="C5" s="16" t="s">
        <v>60</v>
      </c>
      <c r="D5" s="16" t="s">
        <v>61</v>
      </c>
      <c r="E5" s="15"/>
      <c r="F5" t="s">
        <v>67</v>
      </c>
      <c r="G5" t="s">
        <v>68</v>
      </c>
    </row>
    <row r="6" spans="1:10" x14ac:dyDescent="0.2">
      <c r="B6" t="s">
        <v>8</v>
      </c>
      <c r="C6" s="13">
        <v>72</v>
      </c>
      <c r="D6" s="13">
        <v>53</v>
      </c>
      <c r="F6" s="23">
        <f>(City_Subset[[#This Row],[High_F]]-32)*(5/9)</f>
        <v>22.222222222222221</v>
      </c>
      <c r="G6" s="23">
        <f>(City_Subset[[#This Row],[Low_F]]-32)*(5/9)</f>
        <v>11.666666666666668</v>
      </c>
    </row>
    <row r="7" spans="1:10" x14ac:dyDescent="0.2">
      <c r="B7" t="s">
        <v>9</v>
      </c>
      <c r="C7" s="13">
        <v>80</v>
      </c>
      <c r="D7" s="13">
        <v>59</v>
      </c>
      <c r="F7" s="23">
        <f>(City_Subset[[#This Row],[High_F]]-32)*(5/9)</f>
        <v>26.666666666666668</v>
      </c>
      <c r="G7" s="23">
        <f>(City_Subset[[#This Row],[Low_F]]-32)*(5/9)</f>
        <v>15</v>
      </c>
    </row>
    <row r="8" spans="1:10" x14ac:dyDescent="0.2">
      <c r="B8" t="s">
        <v>10</v>
      </c>
      <c r="C8" s="13">
        <v>65</v>
      </c>
      <c r="D8" s="13">
        <v>45</v>
      </c>
      <c r="F8" s="23">
        <f>(City_Subset[[#This Row],[High_F]]-32)*(5/9)</f>
        <v>18.333333333333336</v>
      </c>
      <c r="G8" s="23">
        <f>(City_Subset[[#This Row],[Low_F]]-32)*(5/9)</f>
        <v>7.2222222222222223</v>
      </c>
    </row>
    <row r="9" spans="1:10" x14ac:dyDescent="0.2">
      <c r="B9" t="s">
        <v>11</v>
      </c>
      <c r="C9" s="13">
        <v>74</v>
      </c>
      <c r="D9" s="13">
        <v>53</v>
      </c>
      <c r="F9" s="23">
        <f>(City_Subset[[#This Row],[High_F]]-32)*(5/9)</f>
        <v>23.333333333333336</v>
      </c>
      <c r="G9" s="23">
        <f>(City_Subset[[#This Row],[Low_F]]-32)*(5/9)</f>
        <v>11.666666666666668</v>
      </c>
    </row>
    <row r="10" spans="1:10" x14ac:dyDescent="0.2">
      <c r="B10" t="s">
        <v>12</v>
      </c>
      <c r="C10" s="13">
        <v>59</v>
      </c>
      <c r="D10" s="13">
        <v>44</v>
      </c>
      <c r="F10" s="23">
        <f>(City_Subset[[#This Row],[High_F]]-32)*(5/9)</f>
        <v>15</v>
      </c>
      <c r="G10" s="23">
        <f>(City_Subset[[#This Row],[Low_F]]-32)*(5/9)</f>
        <v>6.666666666666667</v>
      </c>
    </row>
    <row r="11" spans="1:10" x14ac:dyDescent="0.2">
      <c r="B11" t="s">
        <v>13</v>
      </c>
      <c r="C11" s="13">
        <v>56</v>
      </c>
      <c r="D11" s="13">
        <v>40</v>
      </c>
      <c r="F11" s="23">
        <f>(City_Subset[[#This Row],[High_F]]-32)*(5/9)</f>
        <v>13.333333333333334</v>
      </c>
      <c r="G11" s="23">
        <f>(City_Subset[[#This Row],[Low_F]]-32)*(5/9)</f>
        <v>4.4444444444444446</v>
      </c>
    </row>
    <row r="12" spans="1:10" x14ac:dyDescent="0.2">
      <c r="B12" t="s">
        <v>14</v>
      </c>
      <c r="C12" s="13">
        <v>71</v>
      </c>
      <c r="D12" s="13">
        <v>49</v>
      </c>
      <c r="F12" s="23">
        <f>(City_Subset[[#This Row],[High_F]]-32)*(5/9)</f>
        <v>21.666666666666668</v>
      </c>
      <c r="G12" s="23">
        <f>(City_Subset[[#This Row],[Low_F]]-32)*(5/9)</f>
        <v>9.4444444444444446</v>
      </c>
    </row>
    <row r="13" spans="1:10" x14ac:dyDescent="0.2">
      <c r="B13" t="s">
        <v>15</v>
      </c>
      <c r="C13" s="13">
        <v>59</v>
      </c>
      <c r="D13" s="13">
        <v>41</v>
      </c>
      <c r="F13" s="23">
        <f>(City_Subset[[#This Row],[High_F]]-32)*(5/9)</f>
        <v>15</v>
      </c>
      <c r="G13" s="23">
        <f>(City_Subset[[#This Row],[Low_F]]-32)*(5/9)</f>
        <v>5</v>
      </c>
    </row>
    <row r="14" spans="1:10" x14ac:dyDescent="0.2">
      <c r="B14" t="s">
        <v>16</v>
      </c>
      <c r="C14" s="13">
        <v>65</v>
      </c>
      <c r="D14" s="13">
        <v>43</v>
      </c>
      <c r="F14" s="23">
        <f>(City_Subset[[#This Row],[High_F]]-32)*(5/9)</f>
        <v>18.333333333333336</v>
      </c>
      <c r="G14" s="23">
        <f>(City_Subset[[#This Row],[Low_F]]-32)*(5/9)</f>
        <v>6.1111111111111116</v>
      </c>
    </row>
    <row r="15" spans="1:10" x14ac:dyDescent="0.2">
      <c r="B15" t="s">
        <v>17</v>
      </c>
      <c r="C15" s="13">
        <v>60</v>
      </c>
      <c r="D15" s="13">
        <v>43</v>
      </c>
      <c r="F15" s="23">
        <f>(City_Subset[[#This Row],[High_F]]-32)*(5/9)</f>
        <v>15.555555555555557</v>
      </c>
      <c r="G15" s="23">
        <f>(City_Subset[[#This Row],[Low_F]]-32)*(5/9)</f>
        <v>6.1111111111111116</v>
      </c>
    </row>
    <row r="16" spans="1:10" x14ac:dyDescent="0.2">
      <c r="B16" t="s">
        <v>18</v>
      </c>
      <c r="C16" s="13">
        <v>63</v>
      </c>
      <c r="D16" s="13">
        <v>44</v>
      </c>
      <c r="F16" s="23">
        <f>(City_Subset[[#This Row],[High_F]]-32)*(5/9)</f>
        <v>17.222222222222221</v>
      </c>
      <c r="G16" s="23">
        <f>(City_Subset[[#This Row],[Low_F]]-32)*(5/9)</f>
        <v>6.666666666666667</v>
      </c>
    </row>
    <row r="17" spans="1:10" x14ac:dyDescent="0.2">
      <c r="B17" t="s">
        <v>19</v>
      </c>
      <c r="C17" s="13">
        <v>77</v>
      </c>
      <c r="D17" s="13">
        <v>57</v>
      </c>
      <c r="F17" s="23">
        <f>(City_Subset[[#This Row],[High_F]]-32)*(5/9)</f>
        <v>25</v>
      </c>
      <c r="G17" s="23">
        <f>(City_Subset[[#This Row],[Low_F]]-32)*(5/9)</f>
        <v>13.888888888888889</v>
      </c>
    </row>
    <row r="18" spans="1:10" x14ac:dyDescent="0.2">
      <c r="B18" t="s">
        <v>20</v>
      </c>
      <c r="C18" s="13">
        <v>64</v>
      </c>
      <c r="D18" s="13">
        <v>36</v>
      </c>
      <c r="F18" s="23">
        <f>(City_Subset[[#This Row],[High_F]]-32)*(5/9)</f>
        <v>17.777777777777779</v>
      </c>
      <c r="G18" s="23">
        <f>(City_Subset[[#This Row],[Low_F]]-32)*(5/9)</f>
        <v>2.2222222222222223</v>
      </c>
    </row>
    <row r="19" spans="1:10" x14ac:dyDescent="0.2">
      <c r="B19" t="s">
        <v>21</v>
      </c>
      <c r="C19" s="13">
        <v>59</v>
      </c>
      <c r="D19" s="13">
        <v>42</v>
      </c>
      <c r="F19" s="23">
        <f>(City_Subset[[#This Row],[High_F]]-32)*(5/9)</f>
        <v>15</v>
      </c>
      <c r="G19" s="23">
        <f>(City_Subset[[#This Row],[Low_F]]-32)*(5/9)</f>
        <v>5.5555555555555554</v>
      </c>
    </row>
    <row r="22" spans="1:10" x14ac:dyDescent="0.2">
      <c r="B22" t="s">
        <v>69</v>
      </c>
      <c r="C22" s="21">
        <f>COUNTA(City_Subset[Location])</f>
        <v>14</v>
      </c>
      <c r="F22" s="22" t="s">
        <v>73</v>
      </c>
      <c r="G22" s="12">
        <f>INT(SUMPRODUCT($F$6:$F$19,$G$6:$G$19))</f>
        <v>2294</v>
      </c>
      <c r="H22" s="11" t="s">
        <v>76</v>
      </c>
    </row>
    <row r="23" spans="1:10" x14ac:dyDescent="0.2">
      <c r="B23" t="s">
        <v>70</v>
      </c>
      <c r="C23" s="21">
        <f>AVERAGE(City_Subset[High_F])</f>
        <v>66</v>
      </c>
    </row>
    <row r="24" spans="1:10" x14ac:dyDescent="0.2">
      <c r="B24" t="s">
        <v>71</v>
      </c>
      <c r="C24" s="21">
        <f>MIN(City_Subset[Low_F])</f>
        <v>36</v>
      </c>
    </row>
    <row r="26" spans="1:10" x14ac:dyDescent="0.2">
      <c r="B26" t="s">
        <v>72</v>
      </c>
      <c r="C26" s="21">
        <f>PRODUCT(C22:C24)</f>
        <v>33264</v>
      </c>
      <c r="D26" s="11" t="s">
        <v>2</v>
      </c>
    </row>
    <row r="28" spans="1:10" x14ac:dyDescent="0.2">
      <c r="A28" s="10"/>
      <c r="B28" s="10" t="s">
        <v>85</v>
      </c>
      <c r="C28" s="10"/>
      <c r="D28" s="10"/>
      <c r="E28" s="10"/>
      <c r="F28" s="10"/>
      <c r="G28" s="10"/>
      <c r="H28" s="10"/>
      <c r="I28" s="10"/>
      <c r="J28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0"/>
  <sheetViews>
    <sheetView showGridLines="0" tabSelected="1" topLeftCell="B1" zoomScale="111" zoomScaleNormal="85" workbookViewId="0">
      <selection activeCell="P15" sqref="P15"/>
    </sheetView>
  </sheetViews>
  <sheetFormatPr baseColWidth="10" defaultColWidth="9.1640625" defaultRowHeight="15" x14ac:dyDescent="0.2"/>
  <cols>
    <col min="2" max="2" width="35.1640625" customWidth="1"/>
    <col min="9" max="9" width="9.1640625" style="13"/>
    <col min="11" max="11" width="13" style="13" customWidth="1"/>
    <col min="12" max="12" width="21.83203125" customWidth="1"/>
    <col min="13" max="13" width="37.6640625" customWidth="1"/>
    <col min="14" max="15" width="12.6640625" customWidth="1"/>
    <col min="16" max="16" width="16.5" customWidth="1"/>
    <col min="17" max="17" width="12.6640625" customWidth="1"/>
  </cols>
  <sheetData>
    <row r="1" spans="1:16" x14ac:dyDescent="0.2">
      <c r="A1" s="10"/>
      <c r="B1" s="10" t="s">
        <v>87</v>
      </c>
      <c r="C1" s="10"/>
      <c r="D1" s="10"/>
      <c r="E1" s="10"/>
      <c r="F1" s="10"/>
      <c r="I1" s="16" t="s">
        <v>75</v>
      </c>
      <c r="K1" s="34">
        <f t="array" ref="K1">SUM(K4:K54*ROW(K4:K54))</f>
        <v>38940</v>
      </c>
      <c r="L1" s="34">
        <f>SUMPRODUCT(K4:K54,L4:L54)</f>
        <v>35027</v>
      </c>
      <c r="M1" s="34">
        <f t="array" ref="M1">IFERROR(MOD(SUM(LEN(M4:M54)*CODE(M4:M54)*(I4:I54+3)),10000),0)</f>
        <v>4698</v>
      </c>
    </row>
    <row r="2" spans="1:16" x14ac:dyDescent="0.2">
      <c r="K2" s="16" t="s">
        <v>80</v>
      </c>
      <c r="L2" s="16" t="s">
        <v>81</v>
      </c>
      <c r="M2" s="16" t="s">
        <v>83</v>
      </c>
      <c r="P2" s="16" t="s">
        <v>88</v>
      </c>
    </row>
    <row r="3" spans="1:16" ht="48" x14ac:dyDescent="0.2">
      <c r="B3" s="36" t="str">
        <f t="array" ref="B3:F54">Raw</f>
        <v>Location</v>
      </c>
      <c r="C3" s="37" t="str">
        <v>High_F</v>
      </c>
      <c r="D3" s="37" t="str">
        <v>Low_F</v>
      </c>
      <c r="E3" s="37" t="str">
        <v>High_C</v>
      </c>
      <c r="F3" s="38" t="str">
        <v>Low_C</v>
      </c>
      <c r="G3" s="39"/>
      <c r="H3" s="39"/>
      <c r="I3" s="40" t="s">
        <v>74</v>
      </c>
      <c r="J3" s="39"/>
      <c r="K3" s="40" t="s">
        <v>77</v>
      </c>
      <c r="L3" s="40" t="s">
        <v>79</v>
      </c>
      <c r="M3" s="41" t="s">
        <v>78</v>
      </c>
      <c r="P3" s="41" t="s">
        <v>82</v>
      </c>
    </row>
    <row r="4" spans="1:16" x14ac:dyDescent="0.2">
      <c r="B4" s="24" t="str">
        <v>San Antonio, Texas</v>
      </c>
      <c r="C4" s="25">
        <v>80</v>
      </c>
      <c r="D4" s="25">
        <v>59</v>
      </c>
      <c r="E4" s="25">
        <v>27</v>
      </c>
      <c r="F4" s="26">
        <v>15</v>
      </c>
      <c r="I4" s="13">
        <f t="array" ref="I4:I54">ROW(A1:A51)</f>
        <v>1</v>
      </c>
      <c r="K4" s="33">
        <f>COUNTIFS(B$4:B$54,"&lt;"&amp;B4)+1</f>
        <v>43</v>
      </c>
      <c r="L4" s="33">
        <f>MATCH(I4,$K$4:$K$54,0)</f>
        <v>6</v>
      </c>
      <c r="M4" s="42" t="str" cm="1">
        <f t="array" ref="M4">INDEX($B$4:$B$54,L4)</f>
        <v>Atlanta, Georgia</v>
      </c>
      <c r="O4" s="35" cm="1">
        <f t="array" ref="O4:O8">ROW(1:5)</f>
        <v>1</v>
      </c>
      <c r="P4" s="33" cm="1">
        <f t="array" ref="P4:P8">LARGE(C4:C54,_xlfn.ANCHORARRAY(O4))</f>
        <v>87</v>
      </c>
    </row>
    <row r="5" spans="1:16" x14ac:dyDescent="0.2">
      <c r="B5" s="24" t="str">
        <v>Virginia Beach, Virginia</v>
      </c>
      <c r="C5" s="25">
        <v>68</v>
      </c>
      <c r="D5" s="25">
        <v>52</v>
      </c>
      <c r="E5" s="25">
        <v>20</v>
      </c>
      <c r="F5" s="26">
        <v>11</v>
      </c>
      <c r="I5" s="13">
        <v>2</v>
      </c>
      <c r="K5" s="33">
        <f t="shared" ref="K5:K54" si="0">COUNTIFS(B$4:B$54,"&lt;"&amp;B5)+1</f>
        <v>50</v>
      </c>
      <c r="L5" s="33">
        <f t="shared" ref="L5:L54" si="1">MATCH(I5,$K$4:$K$54,0)</f>
        <v>7</v>
      </c>
      <c r="M5" s="42" t="str" cm="1">
        <f t="array" ref="M5">INDEX($B$4:$B$54,L5)</f>
        <v>Austin, Texas</v>
      </c>
      <c r="O5" s="35">
        <v>2</v>
      </c>
      <c r="P5" s="33">
        <v>84</v>
      </c>
    </row>
    <row r="6" spans="1:16" x14ac:dyDescent="0.2">
      <c r="B6" s="24" t="str">
        <v>Portland, Oregon</v>
      </c>
      <c r="C6" s="25">
        <v>63</v>
      </c>
      <c r="D6" s="25">
        <v>45</v>
      </c>
      <c r="E6" s="25">
        <v>17</v>
      </c>
      <c r="F6" s="26">
        <v>7</v>
      </c>
      <c r="I6" s="13">
        <v>3</v>
      </c>
      <c r="K6" s="33">
        <f t="shared" si="0"/>
        <v>35</v>
      </c>
      <c r="L6" s="33">
        <f t="shared" si="1"/>
        <v>31</v>
      </c>
      <c r="M6" s="42" t="str" cm="1">
        <f t="array" ref="M6">INDEX($B$4:$B$54,L6)</f>
        <v>Baltimore, Maryland</v>
      </c>
      <c r="O6" s="35">
        <v>3</v>
      </c>
      <c r="P6" s="33">
        <v>83</v>
      </c>
    </row>
    <row r="7" spans="1:16" x14ac:dyDescent="0.2">
      <c r="B7" s="24" t="str">
        <v>Boston, Massachusetts</v>
      </c>
      <c r="C7" s="25">
        <v>59</v>
      </c>
      <c r="D7" s="25">
        <v>44</v>
      </c>
      <c r="E7" s="25">
        <v>15</v>
      </c>
      <c r="F7" s="26">
        <v>7</v>
      </c>
      <c r="I7" s="13">
        <v>4</v>
      </c>
      <c r="K7" s="33">
        <f t="shared" si="0"/>
        <v>5</v>
      </c>
      <c r="L7" s="33">
        <f t="shared" si="1"/>
        <v>17</v>
      </c>
      <c r="M7" s="42" t="str" cm="1">
        <f t="array" ref="M7">INDEX($B$4:$B$54,L7)</f>
        <v>Birmingham, Alabama</v>
      </c>
      <c r="O7" s="35">
        <v>4</v>
      </c>
      <c r="P7" s="33">
        <v>82</v>
      </c>
    </row>
    <row r="8" spans="1:16" x14ac:dyDescent="0.2">
      <c r="B8" s="24" t="str">
        <v>New Orleans, Louisiana</v>
      </c>
      <c r="C8" s="25">
        <v>78</v>
      </c>
      <c r="D8" s="25">
        <v>61</v>
      </c>
      <c r="E8" s="25">
        <v>26</v>
      </c>
      <c r="F8" s="26">
        <v>16</v>
      </c>
      <c r="I8" s="13">
        <v>5</v>
      </c>
      <c r="K8" s="33">
        <f t="shared" si="0"/>
        <v>28</v>
      </c>
      <c r="L8" s="33">
        <f t="shared" si="1"/>
        <v>4</v>
      </c>
      <c r="M8" s="42" t="str" cm="1">
        <f t="array" ref="M8">INDEX($B$4:$B$54,L8)</f>
        <v>Boston, Massachusetts</v>
      </c>
      <c r="O8" s="35">
        <v>5</v>
      </c>
      <c r="P8" s="33">
        <v>81</v>
      </c>
    </row>
    <row r="9" spans="1:16" x14ac:dyDescent="0.2">
      <c r="B9" s="24" t="str">
        <v>Atlanta, Georgia</v>
      </c>
      <c r="C9" s="25">
        <v>72</v>
      </c>
      <c r="D9" s="25">
        <v>53</v>
      </c>
      <c r="E9" s="25">
        <v>22</v>
      </c>
      <c r="F9" s="26">
        <v>12</v>
      </c>
      <c r="I9" s="13">
        <v>6</v>
      </c>
      <c r="K9" s="33">
        <f t="shared" si="0"/>
        <v>1</v>
      </c>
      <c r="L9" s="33">
        <f t="shared" si="1"/>
        <v>13</v>
      </c>
      <c r="M9" s="42" t="str" cm="1">
        <f t="array" ref="M9">INDEX($B$4:$B$54,L9)</f>
        <v>Buffalo, New York</v>
      </c>
    </row>
    <row r="10" spans="1:16" x14ac:dyDescent="0.2">
      <c r="B10" s="24" t="str">
        <v>Austin, Texas</v>
      </c>
      <c r="C10" s="25">
        <v>80</v>
      </c>
      <c r="D10" s="25">
        <v>59</v>
      </c>
      <c r="E10" s="25">
        <v>27</v>
      </c>
      <c r="F10" s="26">
        <v>15</v>
      </c>
      <c r="I10" s="13">
        <v>7</v>
      </c>
      <c r="K10" s="33">
        <f t="shared" si="0"/>
        <v>2</v>
      </c>
      <c r="L10" s="33">
        <f t="shared" si="1"/>
        <v>37</v>
      </c>
      <c r="M10" s="42" t="str" cm="1">
        <f t="array" ref="M10">INDEX($B$4:$B$54,L10)</f>
        <v>Charlotte, North Carolina</v>
      </c>
      <c r="O10" t="s">
        <v>84</v>
      </c>
      <c r="P10" s="33">
        <f>SUM(_xlfn.ANCHORARRAY(P4))</f>
        <v>417</v>
      </c>
    </row>
    <row r="11" spans="1:16" x14ac:dyDescent="0.2">
      <c r="B11" s="24" t="str">
        <v>Denver, Colorado</v>
      </c>
      <c r="C11" s="25">
        <v>64</v>
      </c>
      <c r="D11" s="25">
        <v>36</v>
      </c>
      <c r="E11" s="25">
        <v>18</v>
      </c>
      <c r="F11" s="26">
        <v>2</v>
      </c>
      <c r="I11" s="13">
        <v>8</v>
      </c>
      <c r="K11" s="33">
        <f t="shared" si="0"/>
        <v>13</v>
      </c>
      <c r="L11" s="33">
        <f t="shared" si="1"/>
        <v>51</v>
      </c>
      <c r="M11" s="42" t="str" cm="1">
        <f t="array" ref="M11">INDEX($B$4:$B$54,L11)</f>
        <v>Chicago, Illinois</v>
      </c>
    </row>
    <row r="12" spans="1:16" x14ac:dyDescent="0.2">
      <c r="B12" s="24" t="str">
        <v>Phoenix, Arizona</v>
      </c>
      <c r="C12" s="25">
        <v>87</v>
      </c>
      <c r="D12" s="25">
        <v>63</v>
      </c>
      <c r="E12" s="25">
        <v>31</v>
      </c>
      <c r="F12" s="26">
        <v>17</v>
      </c>
      <c r="I12" s="13">
        <v>9</v>
      </c>
      <c r="K12" s="33">
        <f t="shared" si="0"/>
        <v>33</v>
      </c>
      <c r="L12" s="33">
        <f t="shared" si="1"/>
        <v>50</v>
      </c>
      <c r="M12" s="42" t="str" cm="1">
        <f t="array" ref="M12">INDEX($B$4:$B$54,L12)</f>
        <v>Cincinnati, Ohio</v>
      </c>
    </row>
    <row r="13" spans="1:16" x14ac:dyDescent="0.2">
      <c r="B13" s="24" t="str">
        <v>Minneapolis, Minnesota</v>
      </c>
      <c r="C13" s="25">
        <v>55</v>
      </c>
      <c r="D13" s="25">
        <v>37</v>
      </c>
      <c r="E13" s="25">
        <v>13</v>
      </c>
      <c r="F13" s="26">
        <v>3</v>
      </c>
      <c r="I13" s="13">
        <v>10</v>
      </c>
      <c r="K13" s="33">
        <f t="shared" si="0"/>
        <v>26</v>
      </c>
      <c r="L13" s="33">
        <f t="shared" si="1"/>
        <v>15</v>
      </c>
      <c r="M13" s="42" t="str" cm="1">
        <f t="array" ref="M13">INDEX($B$4:$B$54,L13)</f>
        <v>Cleveland, Ohio</v>
      </c>
      <c r="P13" s="16" t="s">
        <v>3</v>
      </c>
    </row>
    <row r="14" spans="1:16" x14ac:dyDescent="0.2">
      <c r="B14" s="24" t="str">
        <v>San Francisco, California</v>
      </c>
      <c r="C14" s="25">
        <v>64</v>
      </c>
      <c r="D14" s="25">
        <v>51</v>
      </c>
      <c r="E14" s="25">
        <v>18</v>
      </c>
      <c r="F14" s="26">
        <v>10</v>
      </c>
      <c r="I14" s="13">
        <v>11</v>
      </c>
      <c r="K14" s="33">
        <f t="shared" si="0"/>
        <v>45</v>
      </c>
      <c r="L14" s="33">
        <f t="shared" si="1"/>
        <v>27</v>
      </c>
      <c r="M14" s="42" t="str" cm="1">
        <f t="array" ref="M14">INDEX($B$4:$B$54,L14)</f>
        <v>Columbus, Ohio</v>
      </c>
      <c r="O14" t="s">
        <v>89</v>
      </c>
    </row>
    <row r="15" spans="1:16" x14ac:dyDescent="0.2">
      <c r="B15" s="24" t="str">
        <v>New York, New York</v>
      </c>
      <c r="C15" s="25">
        <v>62</v>
      </c>
      <c r="D15" s="25">
        <v>48</v>
      </c>
      <c r="E15" s="25">
        <v>17</v>
      </c>
      <c r="F15" s="26">
        <v>9</v>
      </c>
      <c r="I15" s="13">
        <v>12</v>
      </c>
      <c r="K15" s="33">
        <f t="shared" si="0"/>
        <v>29</v>
      </c>
      <c r="L15" s="33">
        <f t="shared" si="1"/>
        <v>16</v>
      </c>
      <c r="M15" s="42" t="str" cm="1">
        <f t="array" ref="M15">INDEX($B$4:$B$54,L15)</f>
        <v>Dallas, Texas</v>
      </c>
      <c r="P15" s="33" cm="1">
        <f t="array" ref="P15">SUM(IF(F4:F54&lt;10,E4:E54*F4:F54,0))</f>
        <v>3294</v>
      </c>
    </row>
    <row r="16" spans="1:16" x14ac:dyDescent="0.2">
      <c r="B16" s="24" t="str">
        <v>Buffalo, New York</v>
      </c>
      <c r="C16" s="25">
        <v>56</v>
      </c>
      <c r="D16" s="25">
        <v>40</v>
      </c>
      <c r="E16" s="25">
        <v>14</v>
      </c>
      <c r="F16" s="26">
        <v>5</v>
      </c>
      <c r="I16" s="13">
        <v>13</v>
      </c>
      <c r="K16" s="33">
        <f t="shared" si="0"/>
        <v>6</v>
      </c>
      <c r="L16" s="33">
        <f t="shared" si="1"/>
        <v>8</v>
      </c>
      <c r="M16" s="42" t="str" cm="1">
        <f t="array" ref="M16">INDEX($B$4:$B$54,L16)</f>
        <v>Denver, Colorado</v>
      </c>
    </row>
    <row r="17" spans="2:16" x14ac:dyDescent="0.2">
      <c r="B17" s="24" t="str">
        <v>Tampa, Florida</v>
      </c>
      <c r="C17" s="25">
        <v>82</v>
      </c>
      <c r="D17" s="25">
        <v>65</v>
      </c>
      <c r="E17" s="25">
        <v>28</v>
      </c>
      <c r="F17" s="26">
        <v>18</v>
      </c>
      <c r="I17" s="13">
        <v>14</v>
      </c>
      <c r="K17" s="33">
        <f t="shared" si="0"/>
        <v>49</v>
      </c>
      <c r="L17" s="33">
        <f t="shared" si="1"/>
        <v>38</v>
      </c>
      <c r="M17" s="42" t="str" cm="1">
        <f t="array" ref="M17">INDEX($B$4:$B$54,L17)</f>
        <v>Detroit, Michigan</v>
      </c>
    </row>
    <row r="18" spans="2:16" x14ac:dyDescent="0.2">
      <c r="B18" s="24" t="str">
        <v>Cleveland, Ohio</v>
      </c>
      <c r="C18" s="25">
        <v>60</v>
      </c>
      <c r="D18" s="25">
        <v>43</v>
      </c>
      <c r="E18" s="25">
        <v>15</v>
      </c>
      <c r="F18" s="26">
        <v>6</v>
      </c>
      <c r="I18" s="13">
        <v>15</v>
      </c>
      <c r="K18" s="33">
        <f t="shared" si="0"/>
        <v>10</v>
      </c>
      <c r="L18" s="33">
        <f t="shared" si="1"/>
        <v>29</v>
      </c>
      <c r="M18" s="42" t="str" cm="1">
        <f t="array" ref="M18">INDEX($B$4:$B$54,L18)</f>
        <v>Hartford, Connecticut</v>
      </c>
      <c r="P18" s="16"/>
    </row>
    <row r="19" spans="2:16" x14ac:dyDescent="0.2">
      <c r="B19" s="24" t="str">
        <v>Dallas, Texas</v>
      </c>
      <c r="C19" s="25">
        <v>77</v>
      </c>
      <c r="D19" s="25">
        <v>57</v>
      </c>
      <c r="E19" s="25">
        <v>25</v>
      </c>
      <c r="F19" s="26">
        <v>14</v>
      </c>
      <c r="I19" s="13">
        <v>16</v>
      </c>
      <c r="K19" s="33">
        <f t="shared" si="0"/>
        <v>12</v>
      </c>
      <c r="L19" s="33">
        <f t="shared" si="1"/>
        <v>20</v>
      </c>
      <c r="M19" s="42" t="str" cm="1">
        <f t="array" ref="M19">INDEX($B$4:$B$54,L19)</f>
        <v>Houston, Texas</v>
      </c>
    </row>
    <row r="20" spans="2:16" x14ac:dyDescent="0.2">
      <c r="B20" s="24" t="str">
        <v>Birmingham, Alabama</v>
      </c>
      <c r="C20" s="25">
        <v>74</v>
      </c>
      <c r="D20" s="25">
        <v>53</v>
      </c>
      <c r="E20" s="25">
        <v>23</v>
      </c>
      <c r="F20" s="26">
        <v>12</v>
      </c>
      <c r="I20" s="13">
        <v>17</v>
      </c>
      <c r="K20" s="33">
        <f t="shared" si="0"/>
        <v>4</v>
      </c>
      <c r="L20" s="33">
        <f t="shared" si="1"/>
        <v>18</v>
      </c>
      <c r="M20" s="42" t="str" cm="1">
        <f t="array" ref="M20">INDEX($B$4:$B$54,L20)</f>
        <v>Indianapolis, Indiana</v>
      </c>
    </row>
    <row r="21" spans="2:16" x14ac:dyDescent="0.2">
      <c r="B21" s="24" t="str">
        <v>Indianapolis, Indiana</v>
      </c>
      <c r="C21" s="25">
        <v>63</v>
      </c>
      <c r="D21" s="25">
        <v>44</v>
      </c>
      <c r="E21" s="25">
        <v>17</v>
      </c>
      <c r="F21" s="26">
        <v>7</v>
      </c>
      <c r="I21" s="13">
        <v>18</v>
      </c>
      <c r="K21" s="33">
        <f t="shared" si="0"/>
        <v>17</v>
      </c>
      <c r="L21" s="33">
        <f t="shared" si="1"/>
        <v>41</v>
      </c>
      <c r="M21" s="42" t="str" cm="1">
        <f t="array" ref="M21">INDEX($B$4:$B$54,L21)</f>
        <v>Jacksonville, Florida</v>
      </c>
    </row>
    <row r="22" spans="2:16" x14ac:dyDescent="0.2">
      <c r="B22" s="24" t="str">
        <v>Miami, Florida</v>
      </c>
      <c r="C22" s="25">
        <v>84</v>
      </c>
      <c r="D22" s="25">
        <v>70</v>
      </c>
      <c r="E22" s="25">
        <v>29</v>
      </c>
      <c r="F22" s="26">
        <v>21</v>
      </c>
      <c r="I22" s="13">
        <v>19</v>
      </c>
      <c r="K22" s="33">
        <f t="shared" si="0"/>
        <v>24</v>
      </c>
      <c r="L22" s="33">
        <f t="shared" si="1"/>
        <v>23</v>
      </c>
      <c r="M22" s="42" t="str" cm="1">
        <f t="array" ref="M22">INDEX($B$4:$B$54,L22)</f>
        <v>Kansas City, Missouri</v>
      </c>
    </row>
    <row r="23" spans="2:16" x14ac:dyDescent="0.2">
      <c r="B23" s="24" t="str">
        <v>Houston, Texas</v>
      </c>
      <c r="C23" s="25">
        <v>80</v>
      </c>
      <c r="D23" s="25">
        <v>60</v>
      </c>
      <c r="E23" s="25">
        <v>27</v>
      </c>
      <c r="F23" s="26">
        <v>16</v>
      </c>
      <c r="I23" s="13">
        <v>20</v>
      </c>
      <c r="K23" s="33">
        <f t="shared" si="0"/>
        <v>16</v>
      </c>
      <c r="L23" s="33">
        <f t="shared" si="1"/>
        <v>48</v>
      </c>
      <c r="M23" s="42" t="str" cm="1">
        <f t="array" ref="M23">INDEX($B$4:$B$54,L23)</f>
        <v>Las Vegas, Nevada</v>
      </c>
    </row>
    <row r="24" spans="2:16" x14ac:dyDescent="0.2">
      <c r="B24" s="24" t="str">
        <v>San Jose, California</v>
      </c>
      <c r="C24" s="25">
        <v>71</v>
      </c>
      <c r="D24" s="25">
        <v>50</v>
      </c>
      <c r="E24" s="25">
        <v>22</v>
      </c>
      <c r="F24" s="26">
        <v>10</v>
      </c>
      <c r="I24" s="13">
        <v>21</v>
      </c>
      <c r="K24" s="33">
        <f t="shared" si="0"/>
        <v>46</v>
      </c>
      <c r="L24" s="33">
        <f t="shared" si="1"/>
        <v>46</v>
      </c>
      <c r="M24" s="42" t="str" cm="1">
        <f t="array" ref="M24">INDEX($B$4:$B$54,L24)</f>
        <v>Los Angeles, California</v>
      </c>
    </row>
    <row r="25" spans="2:16" x14ac:dyDescent="0.2">
      <c r="B25" s="24" t="str">
        <v>Pittsburgh, Pennsylvania</v>
      </c>
      <c r="C25" s="25">
        <v>61</v>
      </c>
      <c r="D25" s="25">
        <v>42</v>
      </c>
      <c r="E25" s="25">
        <v>16</v>
      </c>
      <c r="F25" s="26">
        <v>6</v>
      </c>
      <c r="I25" s="13">
        <v>22</v>
      </c>
      <c r="K25" s="33">
        <f t="shared" si="0"/>
        <v>34</v>
      </c>
      <c r="L25" s="33">
        <f t="shared" si="1"/>
        <v>33</v>
      </c>
      <c r="M25" s="42" t="str" cm="1">
        <f t="array" ref="M25">INDEX($B$4:$B$54,L25)</f>
        <v>Louisville, Kentucky</v>
      </c>
    </row>
    <row r="26" spans="2:16" x14ac:dyDescent="0.2">
      <c r="B26" s="24" t="str">
        <v>Kansas City, Missouri</v>
      </c>
      <c r="C26" s="25">
        <v>66</v>
      </c>
      <c r="D26" s="25">
        <v>48</v>
      </c>
      <c r="E26" s="25">
        <v>19</v>
      </c>
      <c r="F26" s="26">
        <v>9</v>
      </c>
      <c r="I26" s="13">
        <v>23</v>
      </c>
      <c r="K26" s="33">
        <f t="shared" si="0"/>
        <v>19</v>
      </c>
      <c r="L26" s="33">
        <f t="shared" si="1"/>
        <v>45</v>
      </c>
      <c r="M26" s="42" t="str" cm="1">
        <f t="array" ref="M26">INDEX($B$4:$B$54,L26)</f>
        <v>Memphis, Tennessee</v>
      </c>
    </row>
    <row r="27" spans="2:16" x14ac:dyDescent="0.2">
      <c r="B27" s="24" t="str">
        <v>St. Louis, Missouri</v>
      </c>
      <c r="C27" s="25">
        <v>66</v>
      </c>
      <c r="D27" s="25">
        <v>48</v>
      </c>
      <c r="E27" s="25">
        <v>19</v>
      </c>
      <c r="F27" s="26">
        <v>9</v>
      </c>
      <c r="I27" s="13">
        <v>24</v>
      </c>
      <c r="K27" s="33">
        <f t="shared" si="0"/>
        <v>48</v>
      </c>
      <c r="L27" s="33">
        <f t="shared" si="1"/>
        <v>19</v>
      </c>
      <c r="M27" s="42" t="str" cm="1">
        <f t="array" ref="M27">INDEX($B$4:$B$54,L27)</f>
        <v>Miami, Florida</v>
      </c>
    </row>
    <row r="28" spans="2:16" x14ac:dyDescent="0.2">
      <c r="B28" s="24" t="str">
        <v>Sacramento, California</v>
      </c>
      <c r="C28" s="25">
        <v>74</v>
      </c>
      <c r="D28" s="25">
        <v>48</v>
      </c>
      <c r="E28" s="25">
        <v>23</v>
      </c>
      <c r="F28" s="26">
        <v>9</v>
      </c>
      <c r="I28" s="13">
        <v>25</v>
      </c>
      <c r="K28" s="33">
        <f t="shared" si="0"/>
        <v>41</v>
      </c>
      <c r="L28" s="33">
        <f t="shared" si="1"/>
        <v>44</v>
      </c>
      <c r="M28" s="42" t="str" cm="1">
        <f t="array" ref="M28">INDEX($B$4:$B$54,L28)</f>
        <v>Milwaukee, Wisconsin</v>
      </c>
    </row>
    <row r="29" spans="2:16" x14ac:dyDescent="0.2">
      <c r="B29" s="24" t="str">
        <v>Providence, Rhode Island</v>
      </c>
      <c r="C29" s="25">
        <v>61</v>
      </c>
      <c r="D29" s="25">
        <v>43</v>
      </c>
      <c r="E29" s="25">
        <v>16</v>
      </c>
      <c r="F29" s="26">
        <v>6</v>
      </c>
      <c r="I29" s="13">
        <v>26</v>
      </c>
      <c r="K29" s="33">
        <f t="shared" si="0"/>
        <v>36</v>
      </c>
      <c r="L29" s="33">
        <f t="shared" si="1"/>
        <v>10</v>
      </c>
      <c r="M29" s="42" t="str" cm="1">
        <f t="array" ref="M29">INDEX($B$4:$B$54,L29)</f>
        <v>Minneapolis, Minnesota</v>
      </c>
    </row>
    <row r="30" spans="2:16" x14ac:dyDescent="0.2">
      <c r="B30" s="24" t="str">
        <v>Columbus, Ohio</v>
      </c>
      <c r="C30" s="25">
        <v>63</v>
      </c>
      <c r="D30" s="25">
        <v>44</v>
      </c>
      <c r="E30" s="25">
        <v>17</v>
      </c>
      <c r="F30" s="26">
        <v>7</v>
      </c>
      <c r="I30" s="13">
        <v>27</v>
      </c>
      <c r="K30" s="33">
        <f t="shared" si="0"/>
        <v>11</v>
      </c>
      <c r="L30" s="33">
        <f t="shared" si="1"/>
        <v>28</v>
      </c>
      <c r="M30" s="42" t="str" cm="1">
        <f t="array" ref="M30">INDEX($B$4:$B$54,L30)</f>
        <v>Nashville, Tennessee</v>
      </c>
    </row>
    <row r="31" spans="2:16" x14ac:dyDescent="0.2">
      <c r="B31" s="24" t="str">
        <v>Nashville, Tennessee</v>
      </c>
      <c r="C31" s="25">
        <v>70</v>
      </c>
      <c r="D31" s="25">
        <v>49</v>
      </c>
      <c r="E31" s="25">
        <v>21</v>
      </c>
      <c r="F31" s="26">
        <v>9</v>
      </c>
      <c r="I31" s="13">
        <v>28</v>
      </c>
      <c r="K31" s="33">
        <f t="shared" si="0"/>
        <v>27</v>
      </c>
      <c r="L31" s="33">
        <f t="shared" si="1"/>
        <v>5</v>
      </c>
      <c r="M31" s="42" t="str" cm="1">
        <f t="array" ref="M31">INDEX($B$4:$B$54,L31)</f>
        <v>New Orleans, Louisiana</v>
      </c>
    </row>
    <row r="32" spans="2:16" x14ac:dyDescent="0.2">
      <c r="B32" s="24" t="str">
        <v>Hartford, Connecticut</v>
      </c>
      <c r="C32" s="25">
        <v>61</v>
      </c>
      <c r="D32" s="25">
        <v>40</v>
      </c>
      <c r="E32" s="25">
        <v>16</v>
      </c>
      <c r="F32" s="26">
        <v>5</v>
      </c>
      <c r="I32" s="13">
        <v>29</v>
      </c>
      <c r="K32" s="33">
        <f t="shared" si="0"/>
        <v>15</v>
      </c>
      <c r="L32" s="33">
        <f t="shared" si="1"/>
        <v>12</v>
      </c>
      <c r="M32" s="42" t="str" cm="1">
        <f t="array" ref="M32">INDEX($B$4:$B$54,L32)</f>
        <v>New York, New York</v>
      </c>
    </row>
    <row r="33" spans="2:16" x14ac:dyDescent="0.2">
      <c r="B33" s="24" t="str">
        <v>Orlando, Florida</v>
      </c>
      <c r="C33" s="25">
        <v>83</v>
      </c>
      <c r="D33" s="25">
        <v>63</v>
      </c>
      <c r="E33" s="25">
        <v>28</v>
      </c>
      <c r="F33" s="26">
        <v>17</v>
      </c>
      <c r="I33" s="13">
        <v>30</v>
      </c>
      <c r="K33" s="33">
        <f t="shared" si="0"/>
        <v>31</v>
      </c>
      <c r="L33" s="33">
        <f t="shared" si="1"/>
        <v>40</v>
      </c>
      <c r="M33" s="42" t="str" cm="1">
        <f t="array" ref="M33">INDEX($B$4:$B$54,L33)</f>
        <v>Oklahoma City, Oklahoma</v>
      </c>
      <c r="N33" s="11"/>
      <c r="P33" s="16"/>
    </row>
    <row r="34" spans="2:16" x14ac:dyDescent="0.2">
      <c r="B34" s="24" t="str">
        <v>Baltimore, Maryland</v>
      </c>
      <c r="C34" s="25">
        <v>65</v>
      </c>
      <c r="D34" s="25">
        <v>45</v>
      </c>
      <c r="E34" s="25">
        <v>18</v>
      </c>
      <c r="F34" s="26">
        <v>7</v>
      </c>
      <c r="I34" s="13">
        <v>31</v>
      </c>
      <c r="K34" s="33">
        <f t="shared" si="0"/>
        <v>3</v>
      </c>
      <c r="L34" s="33">
        <f t="shared" si="1"/>
        <v>30</v>
      </c>
      <c r="M34" s="42" t="str" cm="1">
        <f t="array" ref="M34">INDEX($B$4:$B$54,L34)</f>
        <v>Orlando, Florida</v>
      </c>
      <c r="N34" s="11"/>
      <c r="P34" s="13"/>
    </row>
    <row r="35" spans="2:16" x14ac:dyDescent="0.2">
      <c r="B35" s="24" t="str">
        <v>Raleigh, North Carolina</v>
      </c>
      <c r="C35" s="25">
        <v>72</v>
      </c>
      <c r="D35" s="25">
        <v>50</v>
      </c>
      <c r="E35" s="25">
        <v>22</v>
      </c>
      <c r="F35" s="26">
        <v>10</v>
      </c>
      <c r="I35" s="13">
        <v>32</v>
      </c>
      <c r="K35" s="33">
        <f t="shared" si="0"/>
        <v>37</v>
      </c>
      <c r="L35" s="33">
        <f t="shared" si="1"/>
        <v>49</v>
      </c>
      <c r="M35" s="42" t="str" cm="1">
        <f t="array" ref="M35">INDEX($B$4:$B$54,L35)</f>
        <v>Philadelphia, Pennsylvania</v>
      </c>
    </row>
    <row r="36" spans="2:16" x14ac:dyDescent="0.2">
      <c r="B36" s="24" t="str">
        <v>Louisville, Kentucky</v>
      </c>
      <c r="C36" s="25">
        <v>68</v>
      </c>
      <c r="D36" s="25">
        <v>49</v>
      </c>
      <c r="E36" s="25">
        <v>20</v>
      </c>
      <c r="F36" s="26">
        <v>9</v>
      </c>
      <c r="I36" s="13">
        <v>33</v>
      </c>
      <c r="K36" s="33">
        <f t="shared" si="0"/>
        <v>22</v>
      </c>
      <c r="L36" s="33">
        <f t="shared" si="1"/>
        <v>9</v>
      </c>
      <c r="M36" s="42" t="str" cm="1">
        <f t="array" ref="M36">INDEX($B$4:$B$54,L36)</f>
        <v>Phoenix, Arizona</v>
      </c>
    </row>
    <row r="37" spans="2:16" x14ac:dyDescent="0.2">
      <c r="B37" s="24" t="str">
        <v>Salt Lake City, Utah</v>
      </c>
      <c r="C37" s="25">
        <v>64</v>
      </c>
      <c r="D37" s="25">
        <v>42</v>
      </c>
      <c r="E37" s="25">
        <v>18</v>
      </c>
      <c r="F37" s="26">
        <v>5</v>
      </c>
      <c r="I37" s="13">
        <v>34</v>
      </c>
      <c r="K37" s="33">
        <f t="shared" si="0"/>
        <v>42</v>
      </c>
      <c r="L37" s="33">
        <f t="shared" si="1"/>
        <v>22</v>
      </c>
      <c r="M37" s="42" t="str" cm="1">
        <f t="array" ref="M37">INDEX($B$4:$B$54,L37)</f>
        <v>Pittsburgh, Pennsylvania</v>
      </c>
    </row>
    <row r="38" spans="2:16" x14ac:dyDescent="0.2">
      <c r="B38" s="24" t="str">
        <v>Richmond, Virginia</v>
      </c>
      <c r="C38" s="25">
        <v>70</v>
      </c>
      <c r="D38" s="25">
        <v>48</v>
      </c>
      <c r="E38" s="25">
        <v>21</v>
      </c>
      <c r="F38" s="26">
        <v>9</v>
      </c>
      <c r="I38" s="13">
        <v>35</v>
      </c>
      <c r="K38" s="33">
        <f t="shared" si="0"/>
        <v>38</v>
      </c>
      <c r="L38" s="33">
        <f t="shared" si="1"/>
        <v>3</v>
      </c>
      <c r="M38" s="42" t="str" cm="1">
        <f t="array" ref="M38">INDEX($B$4:$B$54,L38)</f>
        <v>Portland, Oregon</v>
      </c>
    </row>
    <row r="39" spans="2:16" x14ac:dyDescent="0.2">
      <c r="B39" s="24" t="str">
        <v>Washington, DC</v>
      </c>
      <c r="C39" s="25">
        <v>67</v>
      </c>
      <c r="D39" s="25">
        <v>50</v>
      </c>
      <c r="E39" s="25">
        <v>19</v>
      </c>
      <c r="F39" s="26">
        <v>10</v>
      </c>
      <c r="I39" s="13">
        <v>36</v>
      </c>
      <c r="K39" s="33">
        <f t="shared" si="0"/>
        <v>51</v>
      </c>
      <c r="L39" s="33">
        <f t="shared" si="1"/>
        <v>26</v>
      </c>
      <c r="M39" s="42" t="str" cm="1">
        <f t="array" ref="M39">INDEX($B$4:$B$54,L39)</f>
        <v>Providence, Rhode Island</v>
      </c>
    </row>
    <row r="40" spans="2:16" x14ac:dyDescent="0.2">
      <c r="B40" s="24" t="str">
        <v>Charlotte, North Carolina</v>
      </c>
      <c r="C40" s="25">
        <v>71</v>
      </c>
      <c r="D40" s="25">
        <v>49</v>
      </c>
      <c r="E40" s="25">
        <v>22</v>
      </c>
      <c r="F40" s="26">
        <v>9</v>
      </c>
      <c r="I40" s="13">
        <v>37</v>
      </c>
      <c r="K40" s="33">
        <f t="shared" si="0"/>
        <v>7</v>
      </c>
      <c r="L40" s="33">
        <f t="shared" si="1"/>
        <v>32</v>
      </c>
      <c r="M40" s="42" t="str" cm="1">
        <f t="array" ref="M40">INDEX($B$4:$B$54,L40)</f>
        <v>Raleigh, North Carolina</v>
      </c>
    </row>
    <row r="41" spans="2:16" x14ac:dyDescent="0.2">
      <c r="B41" s="24" t="str">
        <v>Detroit, Michigan</v>
      </c>
      <c r="C41" s="25">
        <v>59</v>
      </c>
      <c r="D41" s="25">
        <v>42</v>
      </c>
      <c r="E41" s="25">
        <v>15</v>
      </c>
      <c r="F41" s="26">
        <v>5</v>
      </c>
      <c r="I41" s="13">
        <v>38</v>
      </c>
      <c r="K41" s="33">
        <f t="shared" si="0"/>
        <v>14</v>
      </c>
      <c r="L41" s="33">
        <f t="shared" si="1"/>
        <v>35</v>
      </c>
      <c r="M41" s="42" t="str" cm="1">
        <f t="array" ref="M41">INDEX($B$4:$B$54,L41)</f>
        <v>Richmond, Virginia</v>
      </c>
    </row>
    <row r="42" spans="2:16" x14ac:dyDescent="0.2">
      <c r="B42" s="24" t="str">
        <v>Rochester, New York</v>
      </c>
      <c r="C42" s="25">
        <v>57</v>
      </c>
      <c r="D42" s="25">
        <v>39</v>
      </c>
      <c r="E42" s="25">
        <v>14</v>
      </c>
      <c r="F42" s="26">
        <v>4</v>
      </c>
      <c r="I42" s="13">
        <v>39</v>
      </c>
      <c r="K42" s="33">
        <f t="shared" si="0"/>
        <v>40</v>
      </c>
      <c r="L42" s="33">
        <f t="shared" si="1"/>
        <v>43</v>
      </c>
      <c r="M42" s="42" t="str" cm="1">
        <f t="array" ref="M42">INDEX($B$4:$B$54,L42)</f>
        <v>Riverside, California</v>
      </c>
    </row>
    <row r="43" spans="2:16" x14ac:dyDescent="0.2">
      <c r="B43" s="24" t="str">
        <v>Oklahoma City, Oklahoma</v>
      </c>
      <c r="C43" s="25">
        <v>72</v>
      </c>
      <c r="D43" s="25">
        <v>51</v>
      </c>
      <c r="E43" s="25">
        <v>22</v>
      </c>
      <c r="F43" s="26">
        <v>10</v>
      </c>
      <c r="I43" s="13">
        <v>40</v>
      </c>
      <c r="K43" s="33">
        <f t="shared" si="0"/>
        <v>30</v>
      </c>
      <c r="L43" s="33">
        <f t="shared" si="1"/>
        <v>39</v>
      </c>
      <c r="M43" s="42" t="str" cm="1">
        <f t="array" ref="M43">INDEX($B$4:$B$54,L43)</f>
        <v>Rochester, New York</v>
      </c>
    </row>
    <row r="44" spans="2:16" x14ac:dyDescent="0.2">
      <c r="B44" s="24" t="str">
        <v>Jacksonville, Florida</v>
      </c>
      <c r="C44" s="25">
        <v>79</v>
      </c>
      <c r="D44" s="25">
        <v>58</v>
      </c>
      <c r="E44" s="25">
        <v>26</v>
      </c>
      <c r="F44" s="26">
        <v>14</v>
      </c>
      <c r="I44" s="13">
        <v>41</v>
      </c>
      <c r="K44" s="33">
        <f t="shared" si="0"/>
        <v>18</v>
      </c>
      <c r="L44" s="33">
        <f t="shared" si="1"/>
        <v>25</v>
      </c>
      <c r="M44" s="42" t="str" cm="1">
        <f t="array" ref="M44">INDEX($B$4:$B$54,L44)</f>
        <v>Sacramento, California</v>
      </c>
    </row>
    <row r="45" spans="2:16" x14ac:dyDescent="0.2">
      <c r="B45" s="24" t="str">
        <v>Seattle, Washington</v>
      </c>
      <c r="C45" s="25">
        <v>61</v>
      </c>
      <c r="D45" s="25">
        <v>46</v>
      </c>
      <c r="E45" s="25">
        <v>16</v>
      </c>
      <c r="F45" s="26">
        <v>8</v>
      </c>
      <c r="I45" s="13">
        <v>42</v>
      </c>
      <c r="K45" s="33">
        <f t="shared" si="0"/>
        <v>47</v>
      </c>
      <c r="L45" s="33">
        <f t="shared" si="1"/>
        <v>34</v>
      </c>
      <c r="M45" s="42" t="str" cm="1">
        <f t="array" ref="M45">INDEX($B$4:$B$54,L45)</f>
        <v>Salt Lake City, Utah</v>
      </c>
    </row>
    <row r="46" spans="2:16" x14ac:dyDescent="0.2">
      <c r="B46" s="24" t="str">
        <v>Riverside, California</v>
      </c>
      <c r="C46" s="25">
        <v>81</v>
      </c>
      <c r="D46" s="25">
        <v>53</v>
      </c>
      <c r="E46" s="25">
        <v>27</v>
      </c>
      <c r="F46" s="26">
        <v>11</v>
      </c>
      <c r="I46" s="13">
        <v>43</v>
      </c>
      <c r="K46" s="33">
        <f t="shared" si="0"/>
        <v>39</v>
      </c>
      <c r="L46" s="33">
        <f t="shared" si="1"/>
        <v>1</v>
      </c>
      <c r="M46" s="42" t="str" cm="1">
        <f t="array" ref="M46">INDEX($B$4:$B$54,L46)</f>
        <v>San Antonio, Texas</v>
      </c>
    </row>
    <row r="47" spans="2:16" x14ac:dyDescent="0.2">
      <c r="B47" s="24" t="str">
        <v>Milwaukee, Wisconsin</v>
      </c>
      <c r="C47" s="25">
        <v>56</v>
      </c>
      <c r="D47" s="25">
        <v>40</v>
      </c>
      <c r="E47" s="25">
        <v>13</v>
      </c>
      <c r="F47" s="26">
        <v>5</v>
      </c>
      <c r="I47" s="13">
        <v>44</v>
      </c>
      <c r="K47" s="33">
        <f t="shared" si="0"/>
        <v>25</v>
      </c>
      <c r="L47" s="33">
        <f t="shared" si="1"/>
        <v>47</v>
      </c>
      <c r="M47" s="42" t="str" cm="1">
        <f t="array" ref="M47">INDEX($B$4:$B$54,L47)</f>
        <v>San Diego, California</v>
      </c>
    </row>
    <row r="48" spans="2:16" x14ac:dyDescent="0.2">
      <c r="B48" s="24" t="str">
        <v>Memphis, Tennessee</v>
      </c>
      <c r="C48" s="25">
        <v>73</v>
      </c>
      <c r="D48" s="25">
        <v>54</v>
      </c>
      <c r="E48" s="25">
        <v>23</v>
      </c>
      <c r="F48" s="26">
        <v>12</v>
      </c>
      <c r="I48" s="13">
        <v>45</v>
      </c>
      <c r="K48" s="33">
        <f t="shared" si="0"/>
        <v>23</v>
      </c>
      <c r="L48" s="33">
        <f t="shared" si="1"/>
        <v>11</v>
      </c>
      <c r="M48" s="42" t="str" cm="1">
        <f t="array" ref="M48">INDEX($B$4:$B$54,L48)</f>
        <v>San Francisco, California</v>
      </c>
    </row>
    <row r="49" spans="1:13" x14ac:dyDescent="0.2">
      <c r="B49" s="24" t="str">
        <v>Los Angeles, California</v>
      </c>
      <c r="C49" s="25">
        <v>75</v>
      </c>
      <c r="D49" s="25">
        <v>56</v>
      </c>
      <c r="E49" s="25">
        <v>24</v>
      </c>
      <c r="F49" s="26">
        <v>13</v>
      </c>
      <c r="I49" s="13">
        <v>46</v>
      </c>
      <c r="K49" s="33">
        <f t="shared" si="0"/>
        <v>21</v>
      </c>
      <c r="L49" s="33">
        <f t="shared" si="1"/>
        <v>21</v>
      </c>
      <c r="M49" s="42" t="str" cm="1">
        <f t="array" ref="M49">INDEX($B$4:$B$54,L49)</f>
        <v>San Jose, California</v>
      </c>
    </row>
    <row r="50" spans="1:13" x14ac:dyDescent="0.2">
      <c r="B50" s="24" t="str">
        <v>San Diego, California</v>
      </c>
      <c r="C50" s="25">
        <v>70</v>
      </c>
      <c r="D50" s="25">
        <v>58</v>
      </c>
      <c r="E50" s="25">
        <v>21</v>
      </c>
      <c r="F50" s="26">
        <v>14</v>
      </c>
      <c r="I50" s="13">
        <v>47</v>
      </c>
      <c r="K50" s="33">
        <f t="shared" si="0"/>
        <v>44</v>
      </c>
      <c r="L50" s="33">
        <f t="shared" si="1"/>
        <v>42</v>
      </c>
      <c r="M50" s="42" t="str" cm="1">
        <f t="array" ref="M50">INDEX($B$4:$B$54,L50)</f>
        <v>Seattle, Washington</v>
      </c>
    </row>
    <row r="51" spans="1:13" x14ac:dyDescent="0.2">
      <c r="B51" s="24" t="str">
        <v>Las Vegas, Nevada</v>
      </c>
      <c r="C51" s="25">
        <v>80</v>
      </c>
      <c r="D51" s="25">
        <v>59</v>
      </c>
      <c r="E51" s="25">
        <v>27</v>
      </c>
      <c r="F51" s="26">
        <v>15</v>
      </c>
      <c r="I51" s="13">
        <v>48</v>
      </c>
      <c r="K51" s="33">
        <f t="shared" si="0"/>
        <v>20</v>
      </c>
      <c r="L51" s="33">
        <f t="shared" si="1"/>
        <v>24</v>
      </c>
      <c r="M51" s="42" t="str" cm="1">
        <f t="array" ref="M51">INDEX($B$4:$B$54,L51)</f>
        <v>St. Louis, Missouri</v>
      </c>
    </row>
    <row r="52" spans="1:13" x14ac:dyDescent="0.2">
      <c r="B52" s="24" t="str">
        <v>Philadelphia, Pennsylvania</v>
      </c>
      <c r="C52" s="25">
        <v>65</v>
      </c>
      <c r="D52" s="25">
        <v>47</v>
      </c>
      <c r="E52" s="25">
        <v>18</v>
      </c>
      <c r="F52" s="26">
        <v>8</v>
      </c>
      <c r="I52" s="13">
        <v>49</v>
      </c>
      <c r="K52" s="33">
        <f t="shared" si="0"/>
        <v>32</v>
      </c>
      <c r="L52" s="33">
        <f t="shared" si="1"/>
        <v>14</v>
      </c>
      <c r="M52" s="42" t="str" cm="1">
        <f t="array" ref="M52">INDEX($B$4:$B$54,L52)</f>
        <v>Tampa, Florida</v>
      </c>
    </row>
    <row r="53" spans="1:13" x14ac:dyDescent="0.2">
      <c r="B53" s="24" t="str">
        <v>Cincinnati, Ohio</v>
      </c>
      <c r="C53" s="25">
        <v>65</v>
      </c>
      <c r="D53" s="25">
        <v>43</v>
      </c>
      <c r="E53" s="25">
        <v>18</v>
      </c>
      <c r="F53" s="26">
        <v>6</v>
      </c>
      <c r="I53" s="13">
        <v>50</v>
      </c>
      <c r="K53" s="33">
        <f t="shared" si="0"/>
        <v>9</v>
      </c>
      <c r="L53" s="33">
        <f t="shared" si="1"/>
        <v>2</v>
      </c>
      <c r="M53" s="42" t="str" cm="1">
        <f t="array" ref="M53">INDEX($B$4:$B$54,L53)</f>
        <v>Virginia Beach, Virginia</v>
      </c>
    </row>
    <row r="54" spans="1:13" x14ac:dyDescent="0.2">
      <c r="B54" s="27" t="str">
        <v>Chicago, Illinois</v>
      </c>
      <c r="C54" s="28">
        <v>59</v>
      </c>
      <c r="D54" s="28">
        <v>41</v>
      </c>
      <c r="E54" s="28">
        <v>15</v>
      </c>
      <c r="F54" s="29">
        <v>5</v>
      </c>
      <c r="I54" s="13">
        <v>51</v>
      </c>
      <c r="K54" s="33">
        <f t="shared" si="0"/>
        <v>8</v>
      </c>
      <c r="L54" s="33">
        <f t="shared" si="1"/>
        <v>36</v>
      </c>
      <c r="M54" s="42" t="str" cm="1">
        <f t="array" ref="M54">INDEX($B$4:$B$54,L54)</f>
        <v>Washington, DC</v>
      </c>
    </row>
    <row r="60" spans="1:13" x14ac:dyDescent="0.2">
      <c r="A60" s="10"/>
      <c r="B60" s="10" t="s">
        <v>90</v>
      </c>
      <c r="C60" s="10"/>
      <c r="D60" s="10"/>
      <c r="E60" s="10"/>
      <c r="F60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I54"/>
  <sheetViews>
    <sheetView showGridLines="0" workbookViewId="0">
      <selection activeCell="B3" sqref="B3:F54"/>
    </sheetView>
  </sheetViews>
  <sheetFormatPr baseColWidth="10" defaultColWidth="9.1640625" defaultRowHeight="15" x14ac:dyDescent="0.2"/>
  <cols>
    <col min="2" max="2" width="35.1640625" customWidth="1"/>
  </cols>
  <sheetData>
    <row r="1" spans="2:9" x14ac:dyDescent="0.2">
      <c r="C1" s="14"/>
    </row>
    <row r="2" spans="2:9" x14ac:dyDescent="0.2">
      <c r="C2" s="14"/>
    </row>
    <row r="3" spans="2:9" x14ac:dyDescent="0.2">
      <c r="B3" s="30" t="s">
        <v>59</v>
      </c>
      <c r="C3" s="31" t="s">
        <v>60</v>
      </c>
      <c r="D3" s="31" t="s">
        <v>61</v>
      </c>
      <c r="E3" s="31" t="s">
        <v>62</v>
      </c>
      <c r="F3" s="32" t="s">
        <v>63</v>
      </c>
      <c r="I3" s="15" t="s">
        <v>74</v>
      </c>
    </row>
    <row r="4" spans="2:9" x14ac:dyDescent="0.2">
      <c r="B4" s="24" t="s">
        <v>50</v>
      </c>
      <c r="C4" s="25">
        <v>80</v>
      </c>
      <c r="D4" s="25">
        <v>59</v>
      </c>
      <c r="E4" s="25">
        <v>27</v>
      </c>
      <c r="F4" s="26">
        <v>15</v>
      </c>
      <c r="I4">
        <f t="array" ref="I4:I54">ROW(A1:A51)</f>
        <v>1</v>
      </c>
    </row>
    <row r="5" spans="2:9" x14ac:dyDescent="0.2">
      <c r="B5" s="24" t="s">
        <v>57</v>
      </c>
      <c r="C5" s="25">
        <v>68</v>
      </c>
      <c r="D5" s="25">
        <v>52</v>
      </c>
      <c r="E5" s="25">
        <v>20</v>
      </c>
      <c r="F5" s="26">
        <v>11</v>
      </c>
      <c r="I5">
        <v>2</v>
      </c>
    </row>
    <row r="6" spans="2:9" x14ac:dyDescent="0.2">
      <c r="B6" s="24" t="s">
        <v>42</v>
      </c>
      <c r="C6" s="25">
        <v>63</v>
      </c>
      <c r="D6" s="25">
        <v>45</v>
      </c>
      <c r="E6" s="25">
        <v>17</v>
      </c>
      <c r="F6" s="26">
        <v>7</v>
      </c>
      <c r="I6">
        <v>3</v>
      </c>
    </row>
    <row r="7" spans="2:9" x14ac:dyDescent="0.2">
      <c r="B7" s="24" t="s">
        <v>12</v>
      </c>
      <c r="C7" s="25">
        <v>59</v>
      </c>
      <c r="D7" s="25">
        <v>44</v>
      </c>
      <c r="E7" s="25">
        <v>15</v>
      </c>
      <c r="F7" s="26">
        <v>7</v>
      </c>
      <c r="I7">
        <v>4</v>
      </c>
    </row>
    <row r="8" spans="2:9" x14ac:dyDescent="0.2">
      <c r="B8" s="24" t="s">
        <v>35</v>
      </c>
      <c r="C8" s="25">
        <v>78</v>
      </c>
      <c r="D8" s="25">
        <v>61</v>
      </c>
      <c r="E8" s="25">
        <v>26</v>
      </c>
      <c r="F8" s="26">
        <v>16</v>
      </c>
      <c r="I8">
        <v>5</v>
      </c>
    </row>
    <row r="9" spans="2:9" x14ac:dyDescent="0.2">
      <c r="B9" s="24" t="s">
        <v>8</v>
      </c>
      <c r="C9" s="25">
        <v>72</v>
      </c>
      <c r="D9" s="25">
        <v>53</v>
      </c>
      <c r="E9" s="25">
        <v>22</v>
      </c>
      <c r="F9" s="26">
        <v>12</v>
      </c>
      <c r="I9">
        <v>6</v>
      </c>
    </row>
    <row r="10" spans="2:9" x14ac:dyDescent="0.2">
      <c r="B10" s="24" t="s">
        <v>9</v>
      </c>
      <c r="C10" s="25">
        <v>80</v>
      </c>
      <c r="D10" s="25">
        <v>59</v>
      </c>
      <c r="E10" s="25">
        <v>27</v>
      </c>
      <c r="F10" s="26">
        <v>15</v>
      </c>
      <c r="I10">
        <v>7</v>
      </c>
    </row>
    <row r="11" spans="2:9" x14ac:dyDescent="0.2">
      <c r="B11" s="24" t="s">
        <v>20</v>
      </c>
      <c r="C11" s="25">
        <v>64</v>
      </c>
      <c r="D11" s="25">
        <v>36</v>
      </c>
      <c r="E11" s="25">
        <v>18</v>
      </c>
      <c r="F11" s="26">
        <v>2</v>
      </c>
      <c r="I11">
        <v>8</v>
      </c>
    </row>
    <row r="12" spans="2:9" x14ac:dyDescent="0.2">
      <c r="B12" s="24" t="s">
        <v>40</v>
      </c>
      <c r="C12" s="25">
        <v>87</v>
      </c>
      <c r="D12" s="25">
        <v>63</v>
      </c>
      <c r="E12" s="25">
        <v>31</v>
      </c>
      <c r="F12" s="26">
        <v>17</v>
      </c>
      <c r="I12">
        <v>9</v>
      </c>
    </row>
    <row r="13" spans="2:9" x14ac:dyDescent="0.2">
      <c r="B13" s="24" t="s">
        <v>33</v>
      </c>
      <c r="C13" s="25">
        <v>55</v>
      </c>
      <c r="D13" s="25">
        <v>37</v>
      </c>
      <c r="E13" s="25">
        <v>13</v>
      </c>
      <c r="F13" s="26">
        <v>3</v>
      </c>
      <c r="I13">
        <v>10</v>
      </c>
    </row>
    <row r="14" spans="2:9" x14ac:dyDescent="0.2">
      <c r="B14" s="24" t="s">
        <v>52</v>
      </c>
      <c r="C14" s="25">
        <v>64</v>
      </c>
      <c r="D14" s="25">
        <v>51</v>
      </c>
      <c r="E14" s="25">
        <v>18</v>
      </c>
      <c r="F14" s="26">
        <v>10</v>
      </c>
      <c r="I14">
        <v>11</v>
      </c>
    </row>
    <row r="15" spans="2:9" x14ac:dyDescent="0.2">
      <c r="B15" s="24" t="s">
        <v>36</v>
      </c>
      <c r="C15" s="25">
        <v>62</v>
      </c>
      <c r="D15" s="25">
        <v>48</v>
      </c>
      <c r="E15" s="25">
        <v>17</v>
      </c>
      <c r="F15" s="26">
        <v>9</v>
      </c>
      <c r="I15">
        <v>12</v>
      </c>
    </row>
    <row r="16" spans="2:9" x14ac:dyDescent="0.2">
      <c r="B16" s="24" t="s">
        <v>13</v>
      </c>
      <c r="C16" s="25">
        <v>56</v>
      </c>
      <c r="D16" s="25">
        <v>40</v>
      </c>
      <c r="E16" s="25">
        <v>14</v>
      </c>
      <c r="F16" s="26">
        <v>5</v>
      </c>
      <c r="I16">
        <v>13</v>
      </c>
    </row>
    <row r="17" spans="2:9" x14ac:dyDescent="0.2">
      <c r="B17" s="24" t="s">
        <v>56</v>
      </c>
      <c r="C17" s="25">
        <v>82</v>
      </c>
      <c r="D17" s="25">
        <v>65</v>
      </c>
      <c r="E17" s="25">
        <v>28</v>
      </c>
      <c r="F17" s="26">
        <v>18</v>
      </c>
      <c r="I17">
        <v>14</v>
      </c>
    </row>
    <row r="18" spans="2:9" x14ac:dyDescent="0.2">
      <c r="B18" s="24" t="s">
        <v>17</v>
      </c>
      <c r="C18" s="25">
        <v>60</v>
      </c>
      <c r="D18" s="25">
        <v>43</v>
      </c>
      <c r="E18" s="25">
        <v>15</v>
      </c>
      <c r="F18" s="26">
        <v>6</v>
      </c>
      <c r="I18">
        <v>15</v>
      </c>
    </row>
    <row r="19" spans="2:9" x14ac:dyDescent="0.2">
      <c r="B19" s="24" t="s">
        <v>19</v>
      </c>
      <c r="C19" s="25">
        <v>77</v>
      </c>
      <c r="D19" s="25">
        <v>57</v>
      </c>
      <c r="E19" s="25">
        <v>25</v>
      </c>
      <c r="F19" s="26">
        <v>14</v>
      </c>
      <c r="I19">
        <v>16</v>
      </c>
    </row>
    <row r="20" spans="2:9" x14ac:dyDescent="0.2">
      <c r="B20" s="24" t="s">
        <v>11</v>
      </c>
      <c r="C20" s="25">
        <v>74</v>
      </c>
      <c r="D20" s="25">
        <v>53</v>
      </c>
      <c r="E20" s="25">
        <v>23</v>
      </c>
      <c r="F20" s="26">
        <v>12</v>
      </c>
      <c r="I20">
        <v>17</v>
      </c>
    </row>
    <row r="21" spans="2:9" x14ac:dyDescent="0.2">
      <c r="B21" s="24" t="s">
        <v>24</v>
      </c>
      <c r="C21" s="25">
        <v>63</v>
      </c>
      <c r="D21" s="25">
        <v>44</v>
      </c>
      <c r="E21" s="25">
        <v>17</v>
      </c>
      <c r="F21" s="26">
        <v>7</v>
      </c>
      <c r="I21">
        <v>18</v>
      </c>
    </row>
    <row r="22" spans="2:9" x14ac:dyDescent="0.2">
      <c r="B22" s="24" t="s">
        <v>31</v>
      </c>
      <c r="C22" s="25">
        <v>84</v>
      </c>
      <c r="D22" s="25">
        <v>70</v>
      </c>
      <c r="E22" s="25">
        <v>29</v>
      </c>
      <c r="F22" s="26">
        <v>21</v>
      </c>
      <c r="I22">
        <v>19</v>
      </c>
    </row>
    <row r="23" spans="2:9" x14ac:dyDescent="0.2">
      <c r="B23" s="24" t="s">
        <v>23</v>
      </c>
      <c r="C23" s="25">
        <v>80</v>
      </c>
      <c r="D23" s="25">
        <v>60</v>
      </c>
      <c r="E23" s="25">
        <v>27</v>
      </c>
      <c r="F23" s="26">
        <v>16</v>
      </c>
      <c r="I23">
        <v>20</v>
      </c>
    </row>
    <row r="24" spans="2:9" x14ac:dyDescent="0.2">
      <c r="B24" s="24" t="s">
        <v>53</v>
      </c>
      <c r="C24" s="25">
        <v>71</v>
      </c>
      <c r="D24" s="25">
        <v>50</v>
      </c>
      <c r="E24" s="25">
        <v>22</v>
      </c>
      <c r="F24" s="26">
        <v>10</v>
      </c>
      <c r="I24">
        <v>21</v>
      </c>
    </row>
    <row r="25" spans="2:9" x14ac:dyDescent="0.2">
      <c r="B25" s="24" t="s">
        <v>41</v>
      </c>
      <c r="C25" s="25">
        <v>61</v>
      </c>
      <c r="D25" s="25">
        <v>42</v>
      </c>
      <c r="E25" s="25">
        <v>16</v>
      </c>
      <c r="F25" s="26">
        <v>6</v>
      </c>
      <c r="I25">
        <v>22</v>
      </c>
    </row>
    <row r="26" spans="2:9" x14ac:dyDescent="0.2">
      <c r="B26" s="24" t="s">
        <v>26</v>
      </c>
      <c r="C26" s="25">
        <v>66</v>
      </c>
      <c r="D26" s="25">
        <v>48</v>
      </c>
      <c r="E26" s="25">
        <v>19</v>
      </c>
      <c r="F26" s="26">
        <v>9</v>
      </c>
      <c r="I26">
        <v>23</v>
      </c>
    </row>
    <row r="27" spans="2:9" x14ac:dyDescent="0.2">
      <c r="B27" s="24" t="s">
        <v>55</v>
      </c>
      <c r="C27" s="25">
        <v>66</v>
      </c>
      <c r="D27" s="25">
        <v>48</v>
      </c>
      <c r="E27" s="25">
        <v>19</v>
      </c>
      <c r="F27" s="26">
        <v>9</v>
      </c>
      <c r="I27">
        <v>24</v>
      </c>
    </row>
    <row r="28" spans="2:9" x14ac:dyDescent="0.2">
      <c r="B28" s="24" t="s">
        <v>48</v>
      </c>
      <c r="C28" s="25">
        <v>74</v>
      </c>
      <c r="D28" s="25">
        <v>48</v>
      </c>
      <c r="E28" s="25">
        <v>23</v>
      </c>
      <c r="F28" s="26">
        <v>9</v>
      </c>
      <c r="I28">
        <v>25</v>
      </c>
    </row>
    <row r="29" spans="2:9" x14ac:dyDescent="0.2">
      <c r="B29" s="24" t="s">
        <v>43</v>
      </c>
      <c r="C29" s="25">
        <v>61</v>
      </c>
      <c r="D29" s="25">
        <v>43</v>
      </c>
      <c r="E29" s="25">
        <v>16</v>
      </c>
      <c r="F29" s="26">
        <v>6</v>
      </c>
      <c r="I29">
        <v>26</v>
      </c>
    </row>
    <row r="30" spans="2:9" x14ac:dyDescent="0.2">
      <c r="B30" s="24" t="s">
        <v>18</v>
      </c>
      <c r="C30" s="25">
        <v>63</v>
      </c>
      <c r="D30" s="25">
        <v>44</v>
      </c>
      <c r="E30" s="25">
        <v>17</v>
      </c>
      <c r="F30" s="26">
        <v>7</v>
      </c>
      <c r="I30">
        <v>27</v>
      </c>
    </row>
    <row r="31" spans="2:9" x14ac:dyDescent="0.2">
      <c r="B31" s="24" t="s">
        <v>34</v>
      </c>
      <c r="C31" s="25">
        <v>70</v>
      </c>
      <c r="D31" s="25">
        <v>49</v>
      </c>
      <c r="E31" s="25">
        <v>21</v>
      </c>
      <c r="F31" s="26">
        <v>9</v>
      </c>
      <c r="I31">
        <v>28</v>
      </c>
    </row>
    <row r="32" spans="2:9" x14ac:dyDescent="0.2">
      <c r="B32" s="24" t="s">
        <v>22</v>
      </c>
      <c r="C32" s="25">
        <v>61</v>
      </c>
      <c r="D32" s="25">
        <v>40</v>
      </c>
      <c r="E32" s="25">
        <v>16</v>
      </c>
      <c r="F32" s="26">
        <v>5</v>
      </c>
      <c r="I32">
        <v>29</v>
      </c>
    </row>
    <row r="33" spans="2:9" x14ac:dyDescent="0.2">
      <c r="B33" s="24" t="s">
        <v>38</v>
      </c>
      <c r="C33" s="25">
        <v>83</v>
      </c>
      <c r="D33" s="25">
        <v>63</v>
      </c>
      <c r="E33" s="25">
        <v>28</v>
      </c>
      <c r="F33" s="26">
        <v>17</v>
      </c>
      <c r="I33">
        <v>30</v>
      </c>
    </row>
    <row r="34" spans="2:9" x14ac:dyDescent="0.2">
      <c r="B34" s="24" t="s">
        <v>10</v>
      </c>
      <c r="C34" s="25">
        <v>65</v>
      </c>
      <c r="D34" s="25">
        <v>45</v>
      </c>
      <c r="E34" s="25">
        <v>18</v>
      </c>
      <c r="F34" s="26">
        <v>7</v>
      </c>
      <c r="I34">
        <v>31</v>
      </c>
    </row>
    <row r="35" spans="2:9" x14ac:dyDescent="0.2">
      <c r="B35" s="24" t="s">
        <v>44</v>
      </c>
      <c r="C35" s="25">
        <v>72</v>
      </c>
      <c r="D35" s="25">
        <v>50</v>
      </c>
      <c r="E35" s="25">
        <v>22</v>
      </c>
      <c r="F35" s="26">
        <v>10</v>
      </c>
      <c r="I35">
        <v>32</v>
      </c>
    </row>
    <row r="36" spans="2:9" x14ac:dyDescent="0.2">
      <c r="B36" s="24" t="s">
        <v>29</v>
      </c>
      <c r="C36" s="25">
        <v>68</v>
      </c>
      <c r="D36" s="25">
        <v>49</v>
      </c>
      <c r="E36" s="25">
        <v>20</v>
      </c>
      <c r="F36" s="26">
        <v>9</v>
      </c>
      <c r="I36">
        <v>33</v>
      </c>
    </row>
    <row r="37" spans="2:9" x14ac:dyDescent="0.2">
      <c r="B37" s="24" t="s">
        <v>49</v>
      </c>
      <c r="C37" s="25">
        <v>64</v>
      </c>
      <c r="D37" s="25">
        <v>42</v>
      </c>
      <c r="E37" s="25">
        <v>18</v>
      </c>
      <c r="F37" s="26">
        <v>5</v>
      </c>
      <c r="I37">
        <v>34</v>
      </c>
    </row>
    <row r="38" spans="2:9" x14ac:dyDescent="0.2">
      <c r="B38" s="24" t="s">
        <v>45</v>
      </c>
      <c r="C38" s="25">
        <v>70</v>
      </c>
      <c r="D38" s="25">
        <v>48</v>
      </c>
      <c r="E38" s="25">
        <v>21</v>
      </c>
      <c r="F38" s="26">
        <v>9</v>
      </c>
      <c r="I38">
        <v>35</v>
      </c>
    </row>
    <row r="39" spans="2:9" x14ac:dyDescent="0.2">
      <c r="B39" s="24" t="s">
        <v>58</v>
      </c>
      <c r="C39" s="25">
        <v>67</v>
      </c>
      <c r="D39" s="25">
        <v>50</v>
      </c>
      <c r="E39" s="25">
        <v>19</v>
      </c>
      <c r="F39" s="26">
        <v>10</v>
      </c>
      <c r="I39">
        <v>36</v>
      </c>
    </row>
    <row r="40" spans="2:9" x14ac:dyDescent="0.2">
      <c r="B40" s="24" t="s">
        <v>14</v>
      </c>
      <c r="C40" s="25">
        <v>71</v>
      </c>
      <c r="D40" s="25">
        <v>49</v>
      </c>
      <c r="E40" s="25">
        <v>22</v>
      </c>
      <c r="F40" s="26">
        <v>9</v>
      </c>
      <c r="I40">
        <v>37</v>
      </c>
    </row>
    <row r="41" spans="2:9" x14ac:dyDescent="0.2">
      <c r="B41" s="24" t="s">
        <v>21</v>
      </c>
      <c r="C41" s="25">
        <v>59</v>
      </c>
      <c r="D41" s="25">
        <v>42</v>
      </c>
      <c r="E41" s="25">
        <v>15</v>
      </c>
      <c r="F41" s="26">
        <v>5</v>
      </c>
      <c r="I41">
        <v>38</v>
      </c>
    </row>
    <row r="42" spans="2:9" x14ac:dyDescent="0.2">
      <c r="B42" s="24" t="s">
        <v>47</v>
      </c>
      <c r="C42" s="25">
        <v>57</v>
      </c>
      <c r="D42" s="25">
        <v>39</v>
      </c>
      <c r="E42" s="25">
        <v>14</v>
      </c>
      <c r="F42" s="26">
        <v>4</v>
      </c>
      <c r="I42">
        <v>39</v>
      </c>
    </row>
    <row r="43" spans="2:9" x14ac:dyDescent="0.2">
      <c r="B43" s="24" t="s">
        <v>37</v>
      </c>
      <c r="C43" s="25">
        <v>72</v>
      </c>
      <c r="D43" s="25">
        <v>51</v>
      </c>
      <c r="E43" s="25">
        <v>22</v>
      </c>
      <c r="F43" s="26">
        <v>10</v>
      </c>
      <c r="I43">
        <v>40</v>
      </c>
    </row>
    <row r="44" spans="2:9" x14ac:dyDescent="0.2">
      <c r="B44" s="24" t="s">
        <v>25</v>
      </c>
      <c r="C44" s="25">
        <v>79</v>
      </c>
      <c r="D44" s="25">
        <v>58</v>
      </c>
      <c r="E44" s="25">
        <v>26</v>
      </c>
      <c r="F44" s="26">
        <v>14</v>
      </c>
      <c r="I44">
        <v>41</v>
      </c>
    </row>
    <row r="45" spans="2:9" x14ac:dyDescent="0.2">
      <c r="B45" s="24" t="s">
        <v>54</v>
      </c>
      <c r="C45" s="25">
        <v>61</v>
      </c>
      <c r="D45" s="25">
        <v>46</v>
      </c>
      <c r="E45" s="25">
        <v>16</v>
      </c>
      <c r="F45" s="26">
        <v>8</v>
      </c>
      <c r="I45">
        <v>42</v>
      </c>
    </row>
    <row r="46" spans="2:9" x14ac:dyDescent="0.2">
      <c r="B46" s="24" t="s">
        <v>46</v>
      </c>
      <c r="C46" s="25">
        <v>81</v>
      </c>
      <c r="D46" s="25">
        <v>53</v>
      </c>
      <c r="E46" s="25">
        <v>27</v>
      </c>
      <c r="F46" s="26">
        <v>11</v>
      </c>
      <c r="I46">
        <v>43</v>
      </c>
    </row>
    <row r="47" spans="2:9" x14ac:dyDescent="0.2">
      <c r="B47" s="24" t="s">
        <v>32</v>
      </c>
      <c r="C47" s="25">
        <v>56</v>
      </c>
      <c r="D47" s="25">
        <v>40</v>
      </c>
      <c r="E47" s="25">
        <v>13</v>
      </c>
      <c r="F47" s="26">
        <v>5</v>
      </c>
      <c r="I47">
        <v>44</v>
      </c>
    </row>
    <row r="48" spans="2:9" x14ac:dyDescent="0.2">
      <c r="B48" s="24" t="s">
        <v>30</v>
      </c>
      <c r="C48" s="25">
        <v>73</v>
      </c>
      <c r="D48" s="25">
        <v>54</v>
      </c>
      <c r="E48" s="25">
        <v>23</v>
      </c>
      <c r="F48" s="26">
        <v>12</v>
      </c>
      <c r="I48">
        <v>45</v>
      </c>
    </row>
    <row r="49" spans="2:9" x14ac:dyDescent="0.2">
      <c r="B49" s="24" t="s">
        <v>28</v>
      </c>
      <c r="C49" s="25">
        <v>75</v>
      </c>
      <c r="D49" s="25">
        <v>56</v>
      </c>
      <c r="E49" s="25">
        <v>24</v>
      </c>
      <c r="F49" s="26">
        <v>13</v>
      </c>
      <c r="I49">
        <v>46</v>
      </c>
    </row>
    <row r="50" spans="2:9" x14ac:dyDescent="0.2">
      <c r="B50" s="24" t="s">
        <v>51</v>
      </c>
      <c r="C50" s="25">
        <v>70</v>
      </c>
      <c r="D50" s="25">
        <v>58</v>
      </c>
      <c r="E50" s="25">
        <v>21</v>
      </c>
      <c r="F50" s="26">
        <v>14</v>
      </c>
      <c r="I50">
        <v>47</v>
      </c>
    </row>
    <row r="51" spans="2:9" x14ac:dyDescent="0.2">
      <c r="B51" s="24" t="s">
        <v>27</v>
      </c>
      <c r="C51" s="25">
        <v>80</v>
      </c>
      <c r="D51" s="25">
        <v>59</v>
      </c>
      <c r="E51" s="25">
        <v>27</v>
      </c>
      <c r="F51" s="26">
        <v>15</v>
      </c>
      <c r="I51">
        <v>48</v>
      </c>
    </row>
    <row r="52" spans="2:9" x14ac:dyDescent="0.2">
      <c r="B52" s="24" t="s">
        <v>39</v>
      </c>
      <c r="C52" s="25">
        <v>65</v>
      </c>
      <c r="D52" s="25">
        <v>47</v>
      </c>
      <c r="E52" s="25">
        <v>18</v>
      </c>
      <c r="F52" s="26">
        <v>8</v>
      </c>
      <c r="I52">
        <v>49</v>
      </c>
    </row>
    <row r="53" spans="2:9" x14ac:dyDescent="0.2">
      <c r="B53" s="24" t="s">
        <v>16</v>
      </c>
      <c r="C53" s="25">
        <v>65</v>
      </c>
      <c r="D53" s="25">
        <v>43</v>
      </c>
      <c r="E53" s="25">
        <v>18</v>
      </c>
      <c r="F53" s="26">
        <v>6</v>
      </c>
      <c r="I53">
        <v>50</v>
      </c>
    </row>
    <row r="54" spans="2:9" x14ac:dyDescent="0.2">
      <c r="B54" s="27" t="s">
        <v>15</v>
      </c>
      <c r="C54" s="28">
        <v>59</v>
      </c>
      <c r="D54" s="28">
        <v>41</v>
      </c>
      <c r="E54" s="28">
        <v>15</v>
      </c>
      <c r="F54" s="29">
        <v>5</v>
      </c>
      <c r="I54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42"/>
  <sheetViews>
    <sheetView showGridLines="0" zoomScale="112" zoomScaleNormal="85" workbookViewId="0">
      <selection activeCell="H15" sqref="H15"/>
    </sheetView>
  </sheetViews>
  <sheetFormatPr baseColWidth="10" defaultColWidth="8.83203125" defaultRowHeight="15" x14ac:dyDescent="0.2"/>
  <cols>
    <col min="1" max="7" width="12.6640625" customWidth="1"/>
    <col min="8" max="13" width="20.6640625" customWidth="1"/>
    <col min="14" max="22" width="12.6640625" customWidth="1"/>
  </cols>
  <sheetData>
    <row r="1" spans="1:23" x14ac:dyDescent="0.2">
      <c r="A1" s="10"/>
      <c r="B1" s="10" t="s">
        <v>90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3" x14ac:dyDescent="0.2">
      <c r="A2" s="48"/>
      <c r="B2" s="48"/>
      <c r="C2" s="48"/>
      <c r="D2" s="48"/>
      <c r="E2" s="48"/>
      <c r="F2" s="48"/>
    </row>
    <row r="3" spans="1:23" x14ac:dyDescent="0.2">
      <c r="B3" s="11" t="s">
        <v>99</v>
      </c>
    </row>
    <row r="4" spans="1:23" x14ac:dyDescent="0.2">
      <c r="B4" s="44" t="s">
        <v>91</v>
      </c>
    </row>
    <row r="5" spans="1:23" x14ac:dyDescent="0.2">
      <c r="B5" s="45" t="s">
        <v>92</v>
      </c>
      <c r="I5" s="55" t="str" cm="1">
        <f t="array" ref="I5:M5">TRANSPOSE(_xlfn.ANCHORARRAY(H6))</f>
        <v>Alphaville</v>
      </c>
      <c r="J5" s="56" t="str">
        <v>Betaburg</v>
      </c>
      <c r="K5" s="56" t="str">
        <v>Charliefield</v>
      </c>
      <c r="L5" s="56" t="str">
        <v>Deltatown</v>
      </c>
      <c r="M5" s="57" t="str">
        <v>Echopolis</v>
      </c>
    </row>
    <row r="6" spans="1:23" x14ac:dyDescent="0.2">
      <c r="B6" s="45" t="s">
        <v>93</v>
      </c>
      <c r="H6" s="49" t="str" cm="1">
        <f t="array" ref="H6:H10">Towns</f>
        <v>Alphaville</v>
      </c>
      <c r="I6" s="58">
        <f>SUMIFS($D$14:$D$38,$B$14:$B$38,$H$6, $C$14:$C$38,I5)</f>
        <v>0</v>
      </c>
      <c r="J6" s="58">
        <f>SUMIFS($D$14:$D$38,$B$14:$B$38, $H$6,$C$14:$C$38,J5)</f>
        <v>140</v>
      </c>
      <c r="K6" s="58">
        <f t="shared" ref="K6" si="0">SUMIFS($D$14:$D$38,$B$14:$B$38,$H$6, $C$14:$C$38,K5)</f>
        <v>300</v>
      </c>
      <c r="L6" s="58">
        <f t="shared" ref="L6" si="1">SUMIFS($D$14:$D$38,$B$14:$B$38, $H$6,$C$14:$C$38,L5)</f>
        <v>214</v>
      </c>
      <c r="M6" s="58">
        <f t="shared" ref="M6" si="2">SUMIFS($D$14:$D$38,$B$14:$B$38,$H$6, $C$14:$C$38,M5)</f>
        <v>78</v>
      </c>
    </row>
    <row r="7" spans="1:23" x14ac:dyDescent="0.2">
      <c r="B7" s="45" t="s">
        <v>94</v>
      </c>
      <c r="H7" s="50" t="str">
        <v>Betaburg</v>
      </c>
      <c r="I7" s="58">
        <f>SUMIFS($D$14:$D$38,$B$14:$B$38,$H$7, $C$14:$C$38,I5)</f>
        <v>140</v>
      </c>
      <c r="J7" s="58">
        <f t="shared" ref="J7:M7" si="3">SUMIFS($D$14:$D$38,$B$14:$B$38,$H$7, $C$14:$C$38,J5)</f>
        <v>0</v>
      </c>
      <c r="K7" s="58">
        <f t="shared" si="3"/>
        <v>365</v>
      </c>
      <c r="L7" s="58">
        <f t="shared" si="3"/>
        <v>320</v>
      </c>
      <c r="M7" s="58">
        <f t="shared" si="3"/>
        <v>205</v>
      </c>
      <c r="O7" s="85">
        <v>0.58333333333333337</v>
      </c>
      <c r="P7" t="s">
        <v>107</v>
      </c>
      <c r="Q7" t="s">
        <v>106</v>
      </c>
      <c r="R7" t="s">
        <v>108</v>
      </c>
      <c r="S7" t="s">
        <v>109</v>
      </c>
      <c r="T7" t="s">
        <v>110</v>
      </c>
      <c r="U7" s="85">
        <v>0.58333333333333337</v>
      </c>
      <c r="V7" t="s">
        <v>110</v>
      </c>
      <c r="W7" t="s">
        <v>111</v>
      </c>
    </row>
    <row r="8" spans="1:23" x14ac:dyDescent="0.2">
      <c r="B8" s="46" t="s">
        <v>95</v>
      </c>
      <c r="H8" s="50" t="str">
        <v>Charliefield</v>
      </c>
      <c r="I8" s="58">
        <f>SUMIFS($D$14:$D$38,$B$14:$B$38,$H$8,$C$14:$C$38,I5)</f>
        <v>300</v>
      </c>
      <c r="J8" s="58">
        <f t="shared" ref="J8:M8" si="4">SUMIFS($D$14:$D$38,$B$14:$B$38,$H$8,$C$14:$C$38,J5)</f>
        <v>365</v>
      </c>
      <c r="K8" s="58">
        <f t="shared" si="4"/>
        <v>0</v>
      </c>
      <c r="L8" s="58">
        <f t="shared" si="4"/>
        <v>217</v>
      </c>
      <c r="M8" s="58">
        <f t="shared" si="4"/>
        <v>348</v>
      </c>
    </row>
    <row r="9" spans="1:23" x14ac:dyDescent="0.2">
      <c r="B9" s="47" t="s">
        <v>98</v>
      </c>
      <c r="H9" s="50" t="str">
        <v>Deltatown</v>
      </c>
      <c r="I9" s="58">
        <f>SUMIFS($D$14:$D$38,$B$14:$B$38,$H$9, $C$14:$C$38,I5)</f>
        <v>214</v>
      </c>
      <c r="J9" s="58">
        <f t="shared" ref="J9:M9" si="5">SUMIFS($D$14:$D$38,$B$14:$B$38,$H$9, $C$14:$C$38,J5)</f>
        <v>320</v>
      </c>
      <c r="K9" s="58">
        <f t="shared" si="5"/>
        <v>217</v>
      </c>
      <c r="L9" s="58">
        <f t="shared" si="5"/>
        <v>0</v>
      </c>
      <c r="M9" s="58">
        <f t="shared" si="5"/>
        <v>191</v>
      </c>
    </row>
    <row r="10" spans="1:23" x14ac:dyDescent="0.2">
      <c r="H10" s="51" t="str">
        <v>Echopolis</v>
      </c>
      <c r="I10" s="58">
        <f>SUMIFS($D$14:$D$38,$B$14:$B$38,$H$10, $C$14:$C$38,I5)</f>
        <v>78</v>
      </c>
      <c r="J10" s="58">
        <f t="shared" ref="J10:M10" si="6">SUMIFS($D$14:$D$38,$B$14:$B$38,$H$10, $C$14:$C$38,J5)</f>
        <v>205</v>
      </c>
      <c r="K10" s="58">
        <f t="shared" si="6"/>
        <v>348</v>
      </c>
      <c r="L10" s="58">
        <f t="shared" si="6"/>
        <v>191</v>
      </c>
      <c r="M10" s="58">
        <f t="shared" si="6"/>
        <v>0</v>
      </c>
    </row>
    <row r="11" spans="1:23" x14ac:dyDescent="0.2">
      <c r="I11" s="13"/>
      <c r="J11" s="13"/>
      <c r="K11" s="13"/>
      <c r="L11" s="13"/>
      <c r="M11" s="13"/>
    </row>
    <row r="12" spans="1:23" x14ac:dyDescent="0.2">
      <c r="B12" s="11" t="s">
        <v>96</v>
      </c>
      <c r="I12" s="13"/>
      <c r="J12" s="13"/>
      <c r="K12" s="13"/>
      <c r="L12" s="13"/>
      <c r="M12" s="13"/>
    </row>
    <row r="13" spans="1:23" x14ac:dyDescent="0.2">
      <c r="B13" s="79" t="s">
        <v>101</v>
      </c>
      <c r="C13" s="80" t="s">
        <v>102</v>
      </c>
      <c r="D13" s="81" t="s">
        <v>97</v>
      </c>
      <c r="H13" s="11" t="s">
        <v>75</v>
      </c>
      <c r="I13" s="13"/>
      <c r="J13" s="13"/>
      <c r="K13" s="13"/>
      <c r="L13" s="13"/>
      <c r="M13" s="13"/>
    </row>
    <row r="14" spans="1:23" x14ac:dyDescent="0.2">
      <c r="B14" s="67" t="str">
        <f>INDEX(Towns,1)</f>
        <v>Alphaville</v>
      </c>
      <c r="C14" s="68" t="str">
        <f t="array" ref="C14:C18">Towns</f>
        <v>Alphaville</v>
      </c>
      <c r="D14" s="69">
        <v>0</v>
      </c>
      <c r="G14" s="11" t="s">
        <v>4</v>
      </c>
      <c r="H14" s="34">
        <f t="array" ref="H14">IFERROR(SUM(LEN(I5:M5)*(CODE(I5:M5)+CODE(RIGHT(I5:M5,1)))*COLUMN(I5:M5)),0)</f>
        <v>91256</v>
      </c>
      <c r="I14" s="13"/>
      <c r="J14" s="13"/>
      <c r="K14" s="13"/>
      <c r="L14" s="13"/>
      <c r="M14" s="13"/>
    </row>
    <row r="15" spans="1:23" x14ac:dyDescent="0.2">
      <c r="B15" s="70" t="str">
        <f>B14</f>
        <v>Alphaville</v>
      </c>
      <c r="C15" s="71" t="str">
        <v>Betaburg</v>
      </c>
      <c r="D15" s="72">
        <v>140</v>
      </c>
      <c r="G15" s="11" t="s">
        <v>5</v>
      </c>
      <c r="H15" s="34">
        <f t="array" ref="H15">IFERROR(MOD(SUM(MMULT(I6:M10,I6:M10)),10000),0)</f>
        <v>2672</v>
      </c>
      <c r="I15" s="13"/>
      <c r="J15" s="13"/>
      <c r="K15" s="13"/>
      <c r="L15" s="13"/>
      <c r="M15" s="13"/>
    </row>
    <row r="16" spans="1:23" x14ac:dyDescent="0.2">
      <c r="B16" s="70" t="str">
        <f t="shared" ref="B16:B38" si="7">B15</f>
        <v>Alphaville</v>
      </c>
      <c r="C16" s="71" t="str">
        <v>Charliefield</v>
      </c>
      <c r="D16" s="72">
        <v>300</v>
      </c>
      <c r="G16" s="11" t="s">
        <v>105</v>
      </c>
      <c r="H16" s="34">
        <f t="array" ref="H16">IFERROR(MOD(SUM(MMULT(I21:M25,I21:M25))*(L21&gt;M21),10000),0)</f>
        <v>3766</v>
      </c>
      <c r="I16" s="13"/>
      <c r="J16" s="13"/>
      <c r="K16" s="13"/>
      <c r="L16" s="13"/>
      <c r="M16" s="13"/>
    </row>
    <row r="17" spans="2:13" x14ac:dyDescent="0.2">
      <c r="B17" s="70" t="str">
        <f t="shared" si="7"/>
        <v>Alphaville</v>
      </c>
      <c r="C17" s="71" t="str">
        <v>Deltatown</v>
      </c>
      <c r="D17" s="72">
        <v>214</v>
      </c>
      <c r="I17" s="13"/>
      <c r="J17" s="13"/>
      <c r="K17" s="13"/>
      <c r="L17" s="13"/>
      <c r="M17" s="13"/>
    </row>
    <row r="18" spans="2:13" x14ac:dyDescent="0.2">
      <c r="B18" s="70" t="str">
        <f t="shared" si="7"/>
        <v>Alphaville</v>
      </c>
      <c r="C18" s="71" t="str">
        <v>Echopolis</v>
      </c>
      <c r="D18" s="72">
        <v>78</v>
      </c>
      <c r="I18" s="13"/>
      <c r="J18" s="13"/>
      <c r="K18" s="13"/>
      <c r="L18" s="13"/>
      <c r="M18" s="13"/>
    </row>
    <row r="19" spans="2:13" x14ac:dyDescent="0.2">
      <c r="B19" s="73" t="str">
        <f>INDEX(Towns,2)</f>
        <v>Betaburg</v>
      </c>
      <c r="C19" s="74" t="str">
        <f>C14</f>
        <v>Alphaville</v>
      </c>
      <c r="D19" s="75">
        <f>D15</f>
        <v>140</v>
      </c>
      <c r="G19" t="s">
        <v>100</v>
      </c>
      <c r="I19" s="13">
        <v>1</v>
      </c>
      <c r="J19" s="13">
        <v>2</v>
      </c>
      <c r="K19" s="13">
        <v>3</v>
      </c>
      <c r="L19" s="13">
        <v>4</v>
      </c>
      <c r="M19" s="13">
        <v>5</v>
      </c>
    </row>
    <row r="20" spans="2:13" x14ac:dyDescent="0.2">
      <c r="B20" s="70" t="str">
        <f t="shared" si="7"/>
        <v>Betaburg</v>
      </c>
      <c r="C20" s="74" t="str">
        <f t="shared" ref="C20:C38" si="8">C15</f>
        <v>Betaburg</v>
      </c>
      <c r="D20" s="72">
        <v>0</v>
      </c>
      <c r="I20" s="82" t="str">
        <f t="shared" ref="I20:M20" si="9">I5</f>
        <v>Alphaville</v>
      </c>
      <c r="J20" s="83" t="str">
        <f t="shared" si="9"/>
        <v>Betaburg</v>
      </c>
      <c r="K20" s="83" t="str">
        <f t="shared" si="9"/>
        <v>Charliefield</v>
      </c>
      <c r="L20" s="83" t="str">
        <f t="shared" si="9"/>
        <v>Deltatown</v>
      </c>
      <c r="M20" s="84" t="str">
        <f t="shared" si="9"/>
        <v>Echopolis</v>
      </c>
    </row>
    <row r="21" spans="2:13" x14ac:dyDescent="0.2">
      <c r="B21" s="70" t="str">
        <f t="shared" si="7"/>
        <v>Betaburg</v>
      </c>
      <c r="C21" s="74" t="str">
        <f t="shared" si="8"/>
        <v>Charliefield</v>
      </c>
      <c r="D21" s="72">
        <v>365</v>
      </c>
      <c r="G21">
        <v>1</v>
      </c>
      <c r="H21" s="52" t="str">
        <f>H6</f>
        <v>Alphaville</v>
      </c>
      <c r="I21" s="58" cm="1">
        <f t="array" ref="I21:M25">IF(G21:G25&lt;=I19:M19, INDEX($I$6:$M$10, G21:G25, I19:M19), 0)</f>
        <v>0</v>
      </c>
      <c r="J21" s="59">
        <v>140</v>
      </c>
      <c r="K21" s="59">
        <v>300</v>
      </c>
      <c r="L21" s="59">
        <v>214</v>
      </c>
      <c r="M21" s="60">
        <v>78</v>
      </c>
    </row>
    <row r="22" spans="2:13" x14ac:dyDescent="0.2">
      <c r="B22" s="70" t="str">
        <f t="shared" si="7"/>
        <v>Betaburg</v>
      </c>
      <c r="C22" s="74" t="str">
        <f t="shared" si="8"/>
        <v>Deltatown</v>
      </c>
      <c r="D22" s="72">
        <v>320</v>
      </c>
      <c r="G22">
        <v>2</v>
      </c>
      <c r="H22" s="53" t="str">
        <f t="shared" ref="H22:H25" si="10">H7</f>
        <v>Betaburg</v>
      </c>
      <c r="I22" s="63">
        <v>0</v>
      </c>
      <c r="J22" s="33">
        <v>0</v>
      </c>
      <c r="K22" s="33">
        <v>365</v>
      </c>
      <c r="L22" s="33">
        <v>320</v>
      </c>
      <c r="M22" s="61">
        <v>205</v>
      </c>
    </row>
    <row r="23" spans="2:13" x14ac:dyDescent="0.2">
      <c r="B23" s="70" t="str">
        <f t="shared" si="7"/>
        <v>Betaburg</v>
      </c>
      <c r="C23" s="74" t="str">
        <f t="shared" si="8"/>
        <v>Echopolis</v>
      </c>
      <c r="D23" s="72">
        <v>205</v>
      </c>
      <c r="G23">
        <v>3</v>
      </c>
      <c r="H23" s="53" t="str">
        <f t="shared" si="10"/>
        <v>Charliefield</v>
      </c>
      <c r="I23" s="63">
        <v>0</v>
      </c>
      <c r="J23" s="65">
        <v>0</v>
      </c>
      <c r="K23" s="33">
        <v>0</v>
      </c>
      <c r="L23" s="33">
        <v>217</v>
      </c>
      <c r="M23" s="61">
        <v>348</v>
      </c>
    </row>
    <row r="24" spans="2:13" x14ac:dyDescent="0.2">
      <c r="B24" s="73" t="str">
        <f>INDEX(Towns,3)</f>
        <v>Charliefield</v>
      </c>
      <c r="C24" s="74" t="str">
        <f t="shared" si="8"/>
        <v>Alphaville</v>
      </c>
      <c r="D24" s="75">
        <f>D16</f>
        <v>300</v>
      </c>
      <c r="G24">
        <v>4</v>
      </c>
      <c r="H24" s="53" t="str">
        <f t="shared" si="10"/>
        <v>Deltatown</v>
      </c>
      <c r="I24" s="63">
        <v>0</v>
      </c>
      <c r="J24" s="65">
        <v>0</v>
      </c>
      <c r="K24" s="65">
        <v>0</v>
      </c>
      <c r="L24" s="33">
        <v>0</v>
      </c>
      <c r="M24" s="61">
        <v>191</v>
      </c>
    </row>
    <row r="25" spans="2:13" x14ac:dyDescent="0.2">
      <c r="B25" s="70" t="str">
        <f t="shared" si="7"/>
        <v>Charliefield</v>
      </c>
      <c r="C25" s="74" t="str">
        <f t="shared" si="8"/>
        <v>Betaburg</v>
      </c>
      <c r="D25" s="75">
        <f>D21</f>
        <v>365</v>
      </c>
      <c r="G25">
        <v>5</v>
      </c>
      <c r="H25" s="54" t="str">
        <f t="shared" si="10"/>
        <v>Echopolis</v>
      </c>
      <c r="I25" s="64">
        <v>0</v>
      </c>
      <c r="J25" s="66">
        <v>0</v>
      </c>
      <c r="K25" s="66">
        <v>0</v>
      </c>
      <c r="L25" s="66">
        <v>0</v>
      </c>
      <c r="M25" s="62">
        <v>0</v>
      </c>
    </row>
    <row r="26" spans="2:13" x14ac:dyDescent="0.2">
      <c r="B26" s="70" t="str">
        <f t="shared" si="7"/>
        <v>Charliefield</v>
      </c>
      <c r="C26" s="74" t="str">
        <f t="shared" si="8"/>
        <v>Charliefield</v>
      </c>
      <c r="D26" s="72">
        <v>0</v>
      </c>
    </row>
    <row r="27" spans="2:13" x14ac:dyDescent="0.2">
      <c r="B27" s="70" t="str">
        <f t="shared" si="7"/>
        <v>Charliefield</v>
      </c>
      <c r="C27" s="74" t="str">
        <f t="shared" si="8"/>
        <v>Deltatown</v>
      </c>
      <c r="D27" s="72">
        <v>217</v>
      </c>
    </row>
    <row r="28" spans="2:13" x14ac:dyDescent="0.2">
      <c r="B28" s="70" t="str">
        <f t="shared" si="7"/>
        <v>Charliefield</v>
      </c>
      <c r="C28" s="74" t="str">
        <f t="shared" si="8"/>
        <v>Echopolis</v>
      </c>
      <c r="D28" s="72">
        <v>348</v>
      </c>
    </row>
    <row r="29" spans="2:13" x14ac:dyDescent="0.2">
      <c r="B29" s="73" t="str">
        <f>INDEX(Towns,4)</f>
        <v>Deltatown</v>
      </c>
      <c r="C29" s="74" t="str">
        <f t="shared" si="8"/>
        <v>Alphaville</v>
      </c>
      <c r="D29" s="75">
        <f>D17</f>
        <v>214</v>
      </c>
    </row>
    <row r="30" spans="2:13" x14ac:dyDescent="0.2">
      <c r="B30" s="70" t="str">
        <f t="shared" si="7"/>
        <v>Deltatown</v>
      </c>
      <c r="C30" s="74" t="str">
        <f t="shared" si="8"/>
        <v>Betaburg</v>
      </c>
      <c r="D30" s="75">
        <f>D22</f>
        <v>320</v>
      </c>
    </row>
    <row r="31" spans="2:13" x14ac:dyDescent="0.2">
      <c r="B31" s="70" t="str">
        <f t="shared" si="7"/>
        <v>Deltatown</v>
      </c>
      <c r="C31" s="74" t="str">
        <f t="shared" si="8"/>
        <v>Charliefield</v>
      </c>
      <c r="D31" s="75">
        <f>D27</f>
        <v>217</v>
      </c>
    </row>
    <row r="32" spans="2:13" x14ac:dyDescent="0.2">
      <c r="B32" s="70" t="str">
        <f t="shared" si="7"/>
        <v>Deltatown</v>
      </c>
      <c r="C32" s="74" t="str">
        <f t="shared" si="8"/>
        <v>Deltatown</v>
      </c>
      <c r="D32" s="72">
        <v>0</v>
      </c>
    </row>
    <row r="33" spans="1:14" x14ac:dyDescent="0.2">
      <c r="B33" s="70" t="str">
        <f t="shared" si="7"/>
        <v>Deltatown</v>
      </c>
      <c r="C33" s="74" t="str">
        <f t="shared" si="8"/>
        <v>Echopolis</v>
      </c>
      <c r="D33" s="72">
        <v>191</v>
      </c>
    </row>
    <row r="34" spans="1:14" x14ac:dyDescent="0.2">
      <c r="B34" s="73" t="str">
        <f>INDEX(Towns,5)</f>
        <v>Echopolis</v>
      </c>
      <c r="C34" s="74" t="str">
        <f t="shared" si="8"/>
        <v>Alphaville</v>
      </c>
      <c r="D34" s="75">
        <f>D18</f>
        <v>78</v>
      </c>
    </row>
    <row r="35" spans="1:14" x14ac:dyDescent="0.2">
      <c r="B35" s="70" t="str">
        <f t="shared" si="7"/>
        <v>Echopolis</v>
      </c>
      <c r="C35" s="74" t="str">
        <f t="shared" si="8"/>
        <v>Betaburg</v>
      </c>
      <c r="D35" s="75">
        <f>D23</f>
        <v>205</v>
      </c>
    </row>
    <row r="36" spans="1:14" x14ac:dyDescent="0.2">
      <c r="B36" s="70" t="str">
        <f t="shared" si="7"/>
        <v>Echopolis</v>
      </c>
      <c r="C36" s="74" t="str">
        <f t="shared" si="8"/>
        <v>Charliefield</v>
      </c>
      <c r="D36" s="75">
        <f>D28</f>
        <v>348</v>
      </c>
    </row>
    <row r="37" spans="1:14" x14ac:dyDescent="0.2">
      <c r="B37" s="70" t="str">
        <f t="shared" si="7"/>
        <v>Echopolis</v>
      </c>
      <c r="C37" s="74" t="str">
        <f t="shared" si="8"/>
        <v>Deltatown</v>
      </c>
      <c r="D37" s="75">
        <f>D33</f>
        <v>191</v>
      </c>
    </row>
    <row r="38" spans="1:14" x14ac:dyDescent="0.2">
      <c r="B38" s="76" t="str">
        <f t="shared" si="7"/>
        <v>Echopolis</v>
      </c>
      <c r="C38" s="77" t="str">
        <f t="shared" si="8"/>
        <v>Echopolis</v>
      </c>
      <c r="D38" s="78">
        <v>0</v>
      </c>
    </row>
    <row r="42" spans="1:14" x14ac:dyDescent="0.2">
      <c r="A42" s="10"/>
      <c r="B42" s="10" t="s">
        <v>103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Introduction</vt:lpstr>
      <vt:lpstr>Table_Data</vt:lpstr>
      <vt:lpstr>Raw_Data</vt:lpstr>
      <vt:lpstr>Distances</vt:lpstr>
      <vt:lpstr>Raw</vt:lpstr>
      <vt:lpstr>Towns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Vivian Nguyen</cp:lastModifiedBy>
  <cp:lastPrinted>2017-11-05T04:32:04Z</cp:lastPrinted>
  <dcterms:created xsi:type="dcterms:W3CDTF">2017-08-25T02:34:34Z</dcterms:created>
  <dcterms:modified xsi:type="dcterms:W3CDTF">2025-07-19T07:32:43Z</dcterms:modified>
</cp:coreProperties>
</file>